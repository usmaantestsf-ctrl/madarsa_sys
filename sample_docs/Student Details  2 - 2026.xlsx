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siness\up4work\madarsa_sys\sample_docs\"/>
    </mc:Choice>
  </mc:AlternateContent>
  <xr:revisionPtr revIDLastSave="0" documentId="13_ncr:1_{0FBE51E1-C564-45F4-98D8-0027F5184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1" r:id="rId1"/>
    <sheet name="Sheet1" sheetId="9" r:id="rId2"/>
    <sheet name="CHECKING" sheetId="8" r:id="rId3"/>
  </sheets>
  <definedNames>
    <definedName name="_xlnm._FilterDatabase" localSheetId="0" hidden="1">'2026'!$A$2:$AB$132</definedName>
    <definedName name="_xlnm.Print_Area" localSheetId="0">'2026'!$A$1:$F$116</definedName>
    <definedName name="_xlnm.Print_Area" localSheetId="2">CHECKING!$C$3:$D$19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9" l="1"/>
  <c r="K2" i="9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L2" i="9"/>
  <c r="L140" i="9"/>
  <c r="K140" i="9"/>
  <c r="E140" i="9"/>
  <c r="L139" i="9"/>
  <c r="K139" i="9"/>
  <c r="E139" i="9"/>
  <c r="L138" i="9"/>
  <c r="K138" i="9"/>
  <c r="E138" i="9"/>
  <c r="L137" i="9"/>
  <c r="K137" i="9"/>
  <c r="E137" i="9"/>
  <c r="L136" i="9"/>
  <c r="K136" i="9"/>
  <c r="E136" i="9"/>
  <c r="L135" i="9"/>
  <c r="K135" i="9"/>
  <c r="E135" i="9"/>
  <c r="L134" i="9"/>
  <c r="K134" i="9"/>
  <c r="E134" i="9"/>
  <c r="L133" i="9"/>
  <c r="K133" i="9"/>
  <c r="E133" i="9"/>
  <c r="L132" i="9"/>
  <c r="K132" i="9"/>
  <c r="E132" i="9"/>
  <c r="L131" i="9"/>
  <c r="K131" i="9"/>
  <c r="E131" i="9"/>
  <c r="L130" i="9"/>
  <c r="K130" i="9"/>
  <c r="E130" i="9"/>
  <c r="L129" i="9"/>
  <c r="K129" i="9"/>
  <c r="E129" i="9"/>
  <c r="L128" i="9"/>
  <c r="K128" i="9"/>
  <c r="E128" i="9"/>
  <c r="L127" i="9"/>
  <c r="K127" i="9"/>
  <c r="E127" i="9"/>
  <c r="L126" i="9"/>
  <c r="K126" i="9"/>
  <c r="E126" i="9"/>
  <c r="L125" i="9"/>
  <c r="K125" i="9"/>
  <c r="E125" i="9"/>
  <c r="L124" i="9"/>
  <c r="K124" i="9"/>
  <c r="E124" i="9"/>
  <c r="L123" i="9"/>
  <c r="K123" i="9"/>
  <c r="E123" i="9"/>
  <c r="L122" i="9"/>
  <c r="K122" i="9"/>
  <c r="E122" i="9"/>
  <c r="L121" i="9"/>
  <c r="K121" i="9"/>
  <c r="E121" i="9"/>
  <c r="L120" i="9"/>
  <c r="K120" i="9"/>
  <c r="E120" i="9"/>
  <c r="L119" i="9"/>
  <c r="K119" i="9"/>
  <c r="E119" i="9"/>
  <c r="L118" i="9"/>
  <c r="K118" i="9"/>
  <c r="E118" i="9"/>
  <c r="L117" i="9"/>
  <c r="K117" i="9"/>
  <c r="E117" i="9"/>
  <c r="L116" i="9"/>
  <c r="K116" i="9"/>
  <c r="E116" i="9"/>
  <c r="P115" i="9"/>
  <c r="L115" i="9"/>
  <c r="K115" i="9"/>
  <c r="E115" i="9"/>
  <c r="P114" i="9"/>
  <c r="L114" i="9"/>
  <c r="K114" i="9"/>
  <c r="E114" i="9"/>
  <c r="P113" i="9"/>
  <c r="L113" i="9"/>
  <c r="K113" i="9"/>
  <c r="E113" i="9"/>
  <c r="P112" i="9"/>
  <c r="L112" i="9"/>
  <c r="K112" i="9"/>
  <c r="E112" i="9"/>
  <c r="L111" i="9"/>
  <c r="K111" i="9"/>
  <c r="E111" i="9"/>
  <c r="L110" i="9"/>
  <c r="K110" i="9"/>
  <c r="E110" i="9"/>
  <c r="L109" i="9"/>
  <c r="K109" i="9"/>
  <c r="E109" i="9"/>
  <c r="L108" i="9"/>
  <c r="K108" i="9"/>
  <c r="E108" i="9"/>
  <c r="P107" i="9"/>
  <c r="L107" i="9"/>
  <c r="K107" i="9"/>
  <c r="E107" i="9"/>
  <c r="L106" i="9"/>
  <c r="K106" i="9"/>
  <c r="E106" i="9"/>
  <c r="L105" i="9"/>
  <c r="K105" i="9"/>
  <c r="E105" i="9"/>
  <c r="P104" i="9"/>
  <c r="L104" i="9"/>
  <c r="K104" i="9"/>
  <c r="E104" i="9"/>
  <c r="L103" i="9"/>
  <c r="K103" i="9"/>
  <c r="E103" i="9"/>
  <c r="P102" i="9"/>
  <c r="L102" i="9"/>
  <c r="K102" i="9"/>
  <c r="E102" i="9"/>
  <c r="P101" i="9"/>
  <c r="L101" i="9"/>
  <c r="K101" i="9"/>
  <c r="E101" i="9"/>
  <c r="L100" i="9"/>
  <c r="K100" i="9"/>
  <c r="E100" i="9"/>
  <c r="P99" i="9"/>
  <c r="L99" i="9"/>
  <c r="K99" i="9"/>
  <c r="E99" i="9"/>
  <c r="P98" i="9"/>
  <c r="L98" i="9"/>
  <c r="K98" i="9"/>
  <c r="E98" i="9"/>
  <c r="L97" i="9"/>
  <c r="K97" i="9"/>
  <c r="E97" i="9"/>
  <c r="L96" i="9"/>
  <c r="K96" i="9"/>
  <c r="E96" i="9"/>
  <c r="L95" i="9"/>
  <c r="K95" i="9"/>
  <c r="E95" i="9"/>
  <c r="P94" i="9"/>
  <c r="L94" i="9"/>
  <c r="K94" i="9"/>
  <c r="E94" i="9"/>
  <c r="P93" i="9"/>
  <c r="L93" i="9"/>
  <c r="K93" i="9"/>
  <c r="E93" i="9"/>
  <c r="L92" i="9"/>
  <c r="K92" i="9"/>
  <c r="E92" i="9"/>
  <c r="L91" i="9"/>
  <c r="K91" i="9"/>
  <c r="L90" i="9"/>
  <c r="K90" i="9"/>
  <c r="E90" i="9"/>
  <c r="L89" i="9"/>
  <c r="K89" i="9"/>
  <c r="E89" i="9"/>
  <c r="L88" i="9"/>
  <c r="K88" i="9"/>
  <c r="E88" i="9"/>
  <c r="L87" i="9"/>
  <c r="K87" i="9"/>
  <c r="E87" i="9"/>
  <c r="L86" i="9"/>
  <c r="K86" i="9"/>
  <c r="E86" i="9"/>
  <c r="L85" i="9"/>
  <c r="K85" i="9"/>
  <c r="E85" i="9"/>
  <c r="L84" i="9"/>
  <c r="K84" i="9"/>
  <c r="E84" i="9"/>
  <c r="L83" i="9"/>
  <c r="K83" i="9"/>
  <c r="E83" i="9"/>
  <c r="L82" i="9"/>
  <c r="K82" i="9"/>
  <c r="E82" i="9"/>
  <c r="L81" i="9"/>
  <c r="K81" i="9"/>
  <c r="E81" i="9"/>
  <c r="L80" i="9"/>
  <c r="K80" i="9"/>
  <c r="E80" i="9"/>
  <c r="L79" i="9"/>
  <c r="K79" i="9"/>
  <c r="E79" i="9"/>
  <c r="L78" i="9"/>
  <c r="K78" i="9"/>
  <c r="E78" i="9"/>
  <c r="L77" i="9"/>
  <c r="K77" i="9"/>
  <c r="E77" i="9"/>
  <c r="L76" i="9"/>
  <c r="K76" i="9"/>
  <c r="E76" i="9"/>
  <c r="L75" i="9"/>
  <c r="K75" i="9"/>
  <c r="E75" i="9"/>
  <c r="L74" i="9"/>
  <c r="K74" i="9"/>
  <c r="E74" i="9"/>
  <c r="L73" i="9"/>
  <c r="K73" i="9"/>
  <c r="E73" i="9"/>
  <c r="L72" i="9"/>
  <c r="K72" i="9"/>
  <c r="E72" i="9"/>
  <c r="L71" i="9"/>
  <c r="K71" i="9"/>
  <c r="E71" i="9"/>
  <c r="L70" i="9"/>
  <c r="K70" i="9"/>
  <c r="E70" i="9"/>
  <c r="L69" i="9"/>
  <c r="K69" i="9"/>
  <c r="E69" i="9"/>
  <c r="L68" i="9"/>
  <c r="K68" i="9"/>
  <c r="E68" i="9"/>
  <c r="L67" i="9"/>
  <c r="K67" i="9"/>
  <c r="E67" i="9"/>
  <c r="L66" i="9"/>
  <c r="K66" i="9"/>
  <c r="E66" i="9"/>
  <c r="L65" i="9"/>
  <c r="K65" i="9"/>
  <c r="E65" i="9"/>
  <c r="L64" i="9"/>
  <c r="K64" i="9"/>
  <c r="E64" i="9"/>
  <c r="L63" i="9"/>
  <c r="K63" i="9"/>
  <c r="E63" i="9"/>
  <c r="L62" i="9"/>
  <c r="K62" i="9"/>
  <c r="E62" i="9"/>
  <c r="L61" i="9"/>
  <c r="K61" i="9"/>
  <c r="E61" i="9"/>
  <c r="L60" i="9"/>
  <c r="K60" i="9"/>
  <c r="E60" i="9"/>
  <c r="L59" i="9"/>
  <c r="K59" i="9"/>
  <c r="E59" i="9"/>
  <c r="L58" i="9"/>
  <c r="K58" i="9"/>
  <c r="E58" i="9"/>
  <c r="L57" i="9"/>
  <c r="K57" i="9"/>
  <c r="E57" i="9"/>
  <c r="L56" i="9"/>
  <c r="K56" i="9"/>
  <c r="E56" i="9"/>
  <c r="L55" i="9"/>
  <c r="K55" i="9"/>
  <c r="E55" i="9"/>
  <c r="L54" i="9"/>
  <c r="K54" i="9"/>
  <c r="E54" i="9"/>
  <c r="L53" i="9"/>
  <c r="K53" i="9"/>
  <c r="E53" i="9"/>
  <c r="L52" i="9"/>
  <c r="K52" i="9"/>
  <c r="E52" i="9"/>
  <c r="L51" i="9"/>
  <c r="K51" i="9"/>
  <c r="E51" i="9"/>
  <c r="L50" i="9"/>
  <c r="K50" i="9"/>
  <c r="E50" i="9"/>
  <c r="L49" i="9"/>
  <c r="K49" i="9"/>
  <c r="E49" i="9"/>
  <c r="L48" i="9"/>
  <c r="K48" i="9"/>
  <c r="E48" i="9"/>
  <c r="L47" i="9"/>
  <c r="K47" i="9"/>
  <c r="E47" i="9"/>
  <c r="L46" i="9"/>
  <c r="K46" i="9"/>
  <c r="E46" i="9"/>
  <c r="L45" i="9"/>
  <c r="K45" i="9"/>
  <c r="E45" i="9"/>
  <c r="L44" i="9"/>
  <c r="K44" i="9"/>
  <c r="E44" i="9"/>
  <c r="L43" i="9"/>
  <c r="K43" i="9"/>
  <c r="E43" i="9"/>
  <c r="L42" i="9"/>
  <c r="K42" i="9"/>
  <c r="E42" i="9"/>
  <c r="L41" i="9"/>
  <c r="K41" i="9"/>
  <c r="E41" i="9"/>
  <c r="L40" i="9"/>
  <c r="K40" i="9"/>
  <c r="E40" i="9"/>
  <c r="L39" i="9"/>
  <c r="K39" i="9"/>
  <c r="E39" i="9"/>
  <c r="L38" i="9"/>
  <c r="K38" i="9"/>
  <c r="E38" i="9"/>
  <c r="L37" i="9"/>
  <c r="K37" i="9"/>
  <c r="E37" i="9"/>
  <c r="L36" i="9"/>
  <c r="K36" i="9"/>
  <c r="E36" i="9"/>
  <c r="L35" i="9"/>
  <c r="K35" i="9"/>
  <c r="E35" i="9"/>
  <c r="L34" i="9"/>
  <c r="K34" i="9"/>
  <c r="E34" i="9"/>
  <c r="L33" i="9"/>
  <c r="K33" i="9"/>
  <c r="E33" i="9"/>
  <c r="L32" i="9"/>
  <c r="K32" i="9"/>
  <c r="E32" i="9"/>
  <c r="L31" i="9"/>
  <c r="K31" i="9"/>
  <c r="E31" i="9"/>
  <c r="L30" i="9"/>
  <c r="K30" i="9"/>
  <c r="E30" i="9"/>
  <c r="L29" i="9"/>
  <c r="K29" i="9"/>
  <c r="E29" i="9"/>
  <c r="L28" i="9"/>
  <c r="K28" i="9"/>
  <c r="E28" i="9"/>
  <c r="L27" i="9"/>
  <c r="K27" i="9"/>
  <c r="E27" i="9"/>
  <c r="L26" i="9"/>
  <c r="K26" i="9"/>
  <c r="E26" i="9"/>
  <c r="L25" i="9"/>
  <c r="K25" i="9"/>
  <c r="E25" i="9"/>
  <c r="L24" i="9"/>
  <c r="K24" i="9"/>
  <c r="E24" i="9"/>
  <c r="L23" i="9"/>
  <c r="K23" i="9"/>
  <c r="E23" i="9"/>
  <c r="L22" i="9"/>
  <c r="K22" i="9"/>
  <c r="E22" i="9"/>
  <c r="L21" i="9"/>
  <c r="K21" i="9"/>
  <c r="E21" i="9"/>
  <c r="L20" i="9"/>
  <c r="K20" i="9"/>
  <c r="E20" i="9"/>
  <c r="L19" i="9"/>
  <c r="K19" i="9"/>
  <c r="E19" i="9"/>
  <c r="L18" i="9"/>
  <c r="K18" i="9"/>
  <c r="E18" i="9"/>
  <c r="L17" i="9"/>
  <c r="K17" i="9"/>
  <c r="E17" i="9"/>
  <c r="L16" i="9"/>
  <c r="K16" i="9"/>
  <c r="E16" i="9"/>
  <c r="L15" i="9"/>
  <c r="K15" i="9"/>
  <c r="E15" i="9"/>
  <c r="L14" i="9"/>
  <c r="K14" i="9"/>
  <c r="E14" i="9"/>
  <c r="L13" i="9"/>
  <c r="K13" i="9"/>
  <c r="E13" i="9"/>
  <c r="L12" i="9"/>
  <c r="K12" i="9"/>
  <c r="E12" i="9"/>
  <c r="L11" i="9"/>
  <c r="K11" i="9"/>
  <c r="E11" i="9"/>
  <c r="L10" i="9"/>
  <c r="K10" i="9"/>
  <c r="E10" i="9"/>
  <c r="L9" i="9"/>
  <c r="K9" i="9"/>
  <c r="E9" i="9"/>
  <c r="L8" i="9"/>
  <c r="K8" i="9"/>
  <c r="E8" i="9"/>
  <c r="L7" i="9"/>
  <c r="K7" i="9"/>
  <c r="E7" i="9"/>
  <c r="L6" i="9"/>
  <c r="K6" i="9"/>
  <c r="E6" i="9"/>
  <c r="L5" i="9"/>
  <c r="K5" i="9"/>
  <c r="E5" i="9"/>
  <c r="L4" i="9"/>
  <c r="K4" i="9"/>
  <c r="E4" i="9"/>
  <c r="L3" i="9"/>
  <c r="E3" i="9"/>
  <c r="E2" i="9"/>
  <c r="P141" i="1"/>
  <c r="I141" i="1"/>
  <c r="D11" i="8"/>
  <c r="P140" i="1" l="1"/>
  <c r="P129" i="1"/>
  <c r="P130" i="1"/>
  <c r="P131" i="1"/>
  <c r="P133" i="1"/>
  <c r="P134" i="1"/>
  <c r="P135" i="1"/>
  <c r="P136" i="1"/>
  <c r="P137" i="1"/>
  <c r="P138" i="1"/>
  <c r="P139" i="1"/>
  <c r="I117" i="1"/>
  <c r="I118" i="1"/>
  <c r="I120" i="1"/>
  <c r="I122" i="1"/>
  <c r="I123" i="1"/>
  <c r="I124" i="1"/>
  <c r="I125" i="1"/>
  <c r="I127" i="1"/>
  <c r="I129" i="1"/>
  <c r="I130" i="1"/>
  <c r="I131" i="1"/>
  <c r="I133" i="1"/>
  <c r="I134" i="1"/>
  <c r="I135" i="1"/>
  <c r="I136" i="1"/>
  <c r="I137" i="1"/>
  <c r="I138" i="1"/>
  <c r="I139" i="1"/>
  <c r="I140" i="1"/>
  <c r="I119" i="1"/>
  <c r="I121" i="1"/>
  <c r="I126" i="1"/>
  <c r="I128" i="1"/>
  <c r="I132" i="1"/>
  <c r="I96" i="1"/>
  <c r="I111" i="1"/>
  <c r="D24" i="8"/>
  <c r="D23" i="8"/>
  <c r="D22" i="8"/>
  <c r="D21" i="8"/>
  <c r="D20" i="8"/>
  <c r="D19" i="8"/>
  <c r="D18" i="8"/>
  <c r="D17" i="8"/>
  <c r="D16" i="8"/>
  <c r="D15" i="8"/>
  <c r="D12" i="8"/>
  <c r="D10" i="8"/>
  <c r="D9" i="8"/>
  <c r="D7" i="8"/>
  <c r="D6" i="8"/>
  <c r="D5" i="8"/>
  <c r="P52" i="1"/>
  <c r="P53" i="1"/>
  <c r="P54" i="1"/>
  <c r="P93" i="1"/>
  <c r="P108" i="1"/>
  <c r="P116" i="1"/>
  <c r="P94" i="1"/>
  <c r="P95" i="1"/>
  <c r="P99" i="1"/>
  <c r="P100" i="1"/>
  <c r="P102" i="1"/>
  <c r="P103" i="1"/>
  <c r="P105" i="1"/>
  <c r="P113" i="1"/>
  <c r="P114" i="1"/>
  <c r="P115" i="1"/>
  <c r="P66" i="1"/>
  <c r="P69" i="1"/>
  <c r="P71" i="1"/>
  <c r="P73" i="1"/>
  <c r="P74" i="1"/>
  <c r="P80" i="1"/>
  <c r="P81" i="1"/>
  <c r="P82" i="1"/>
  <c r="P83" i="1"/>
  <c r="P67" i="1"/>
  <c r="P70" i="1"/>
  <c r="P72" i="1"/>
  <c r="P79" i="1"/>
  <c r="P84" i="1"/>
  <c r="P86" i="1"/>
  <c r="P87" i="1"/>
  <c r="P91" i="1"/>
  <c r="P92" i="1"/>
  <c r="P112" i="1"/>
  <c r="P49" i="1"/>
  <c r="P50" i="1"/>
  <c r="P51" i="1"/>
  <c r="P59" i="1"/>
  <c r="P97" i="1"/>
  <c r="P104" i="1"/>
  <c r="P109" i="1"/>
  <c r="P46" i="1"/>
  <c r="P55" i="1"/>
  <c r="P98" i="1"/>
  <c r="P101" i="1"/>
  <c r="P106" i="1"/>
  <c r="P107" i="1"/>
  <c r="P110" i="1"/>
  <c r="P3" i="1"/>
  <c r="P4" i="1"/>
  <c r="P5" i="1"/>
  <c r="P6" i="1"/>
  <c r="P11" i="1"/>
  <c r="P24" i="1"/>
  <c r="P9" i="1"/>
  <c r="P10" i="1"/>
  <c r="P16" i="1"/>
  <c r="P8" i="1"/>
  <c r="P12" i="1"/>
  <c r="P13" i="1"/>
  <c r="P14" i="1"/>
  <c r="P15" i="1"/>
  <c r="P17" i="1"/>
  <c r="P18" i="1"/>
  <c r="P20" i="1"/>
  <c r="P35" i="1"/>
  <c r="P36" i="1"/>
  <c r="P7" i="1"/>
  <c r="P19" i="1"/>
  <c r="P21" i="1"/>
  <c r="P56" i="1"/>
  <c r="P57" i="1"/>
  <c r="P58" i="1"/>
  <c r="P61" i="1"/>
  <c r="P64" i="1"/>
  <c r="P65" i="1"/>
  <c r="P22" i="1"/>
  <c r="P23" i="1"/>
  <c r="P25" i="1"/>
  <c r="P26" i="1"/>
  <c r="P27" i="1"/>
  <c r="P28" i="1"/>
  <c r="P29" i="1"/>
  <c r="P30" i="1"/>
  <c r="P31" i="1"/>
  <c r="P32" i="1"/>
  <c r="P33" i="1"/>
  <c r="P34" i="1"/>
  <c r="P63" i="1"/>
  <c r="P68" i="1"/>
  <c r="P75" i="1"/>
  <c r="P76" i="1"/>
  <c r="P77" i="1"/>
  <c r="P78" i="1"/>
  <c r="P89" i="1"/>
  <c r="P90" i="1"/>
  <c r="P39" i="1"/>
  <c r="P40" i="1"/>
  <c r="P43" i="1"/>
  <c r="P62" i="1"/>
  <c r="P85" i="1"/>
  <c r="P88" i="1"/>
  <c r="P96" i="1"/>
  <c r="P111" i="1"/>
  <c r="P37" i="1"/>
  <c r="P38" i="1"/>
  <c r="P41" i="1"/>
  <c r="P42" i="1"/>
  <c r="P45" i="1"/>
  <c r="P47" i="1"/>
  <c r="P48" i="1"/>
  <c r="P60" i="1"/>
  <c r="P119" i="1"/>
  <c r="P121" i="1"/>
  <c r="P126" i="1"/>
  <c r="P128" i="1"/>
  <c r="P132" i="1"/>
  <c r="P117" i="1"/>
  <c r="P118" i="1"/>
  <c r="P120" i="1"/>
  <c r="P122" i="1"/>
  <c r="P123" i="1"/>
  <c r="P124" i="1"/>
  <c r="P125" i="1"/>
  <c r="P127" i="1"/>
  <c r="P44" i="1"/>
  <c r="I52" i="1"/>
  <c r="I53" i="1"/>
  <c r="I54" i="1"/>
  <c r="I93" i="1"/>
  <c r="I108" i="1"/>
  <c r="I116" i="1"/>
  <c r="I94" i="1"/>
  <c r="I95" i="1"/>
  <c r="I99" i="1"/>
  <c r="I100" i="1"/>
  <c r="I102" i="1"/>
  <c r="I103" i="1"/>
  <c r="I105" i="1"/>
  <c r="I113" i="1"/>
  <c r="I114" i="1"/>
  <c r="I115" i="1"/>
  <c r="I66" i="1"/>
  <c r="I69" i="1"/>
  <c r="I71" i="1"/>
  <c r="I73" i="1"/>
  <c r="I74" i="1"/>
  <c r="I80" i="1"/>
  <c r="I81" i="1"/>
  <c r="I82" i="1"/>
  <c r="I83" i="1"/>
  <c r="I67" i="1"/>
  <c r="I70" i="1"/>
  <c r="I72" i="1"/>
  <c r="I79" i="1"/>
  <c r="I84" i="1"/>
  <c r="I86" i="1"/>
  <c r="I87" i="1"/>
  <c r="I91" i="1"/>
  <c r="I112" i="1"/>
  <c r="I49" i="1"/>
  <c r="I50" i="1"/>
  <c r="I51" i="1"/>
  <c r="I59" i="1"/>
  <c r="I97" i="1"/>
  <c r="I104" i="1"/>
  <c r="I109" i="1"/>
  <c r="I46" i="1"/>
  <c r="I55" i="1"/>
  <c r="I98" i="1"/>
  <c r="I101" i="1"/>
  <c r="I106" i="1"/>
  <c r="I107" i="1"/>
  <c r="I110" i="1"/>
  <c r="I3" i="1"/>
  <c r="I4" i="1"/>
  <c r="I5" i="1"/>
  <c r="I6" i="1"/>
  <c r="I11" i="1"/>
  <c r="I24" i="1"/>
  <c r="I9" i="1"/>
  <c r="I10" i="1"/>
  <c r="I16" i="1"/>
  <c r="I8" i="1"/>
  <c r="I12" i="1"/>
  <c r="I13" i="1"/>
  <c r="I14" i="1"/>
  <c r="I15" i="1"/>
  <c r="I17" i="1"/>
  <c r="I18" i="1"/>
  <c r="I20" i="1"/>
  <c r="I35" i="1"/>
  <c r="I36" i="1"/>
  <c r="I7" i="1"/>
  <c r="I19" i="1"/>
  <c r="I21" i="1"/>
  <c r="I56" i="1"/>
  <c r="I57" i="1"/>
  <c r="I58" i="1"/>
  <c r="I61" i="1"/>
  <c r="I64" i="1"/>
  <c r="I65" i="1"/>
  <c r="I22" i="1"/>
  <c r="I23" i="1"/>
  <c r="I25" i="1"/>
  <c r="I26" i="1"/>
  <c r="I27" i="1"/>
  <c r="I28" i="1"/>
  <c r="I29" i="1"/>
  <c r="I30" i="1"/>
  <c r="I31" i="1"/>
  <c r="I32" i="1"/>
  <c r="I33" i="1"/>
  <c r="I34" i="1"/>
  <c r="I63" i="1"/>
  <c r="I68" i="1"/>
  <c r="I75" i="1"/>
  <c r="I76" i="1"/>
  <c r="I77" i="1"/>
  <c r="I78" i="1"/>
  <c r="I89" i="1"/>
  <c r="I90" i="1"/>
  <c r="I39" i="1"/>
  <c r="I40" i="1"/>
  <c r="I43" i="1"/>
  <c r="I62" i="1"/>
  <c r="I85" i="1"/>
  <c r="I88" i="1"/>
  <c r="I37" i="1"/>
  <c r="I38" i="1"/>
  <c r="I41" i="1"/>
  <c r="I42" i="1"/>
  <c r="I45" i="1"/>
  <c r="I47" i="1"/>
  <c r="I48" i="1"/>
  <c r="I60" i="1"/>
  <c r="I44" i="1"/>
  <c r="D14" i="8" l="1"/>
  <c r="D8" i="8"/>
  <c r="T108" i="1" l="1"/>
  <c r="T116" i="1"/>
  <c r="T94" i="1"/>
  <c r="T95" i="1"/>
  <c r="T99" i="1"/>
  <c r="T100" i="1"/>
  <c r="T102" i="1"/>
  <c r="T103" i="1"/>
  <c r="T105" i="1"/>
  <c r="T113" i="1"/>
  <c r="T114" i="1"/>
  <c r="T115" i="1"/>
  <c r="X63" i="1"/>
  <c r="Y63" i="1" s="1"/>
  <c r="D13" i="8" l="1"/>
</calcChain>
</file>

<file path=xl/sharedStrings.xml><?xml version="1.0" encoding="utf-8"?>
<sst xmlns="http://schemas.openxmlformats.org/spreadsheetml/2006/main" count="2127" uniqueCount="582">
  <si>
    <t>AKMAL ABDUL LATHEEF</t>
  </si>
  <si>
    <t>ISHFAK ILFAN</t>
  </si>
  <si>
    <t>FAIZAL ASHRAF</t>
  </si>
  <si>
    <t>ABDUR RAHMAN RIZWAN</t>
  </si>
  <si>
    <t>ABDULLAH IJAZ</t>
  </si>
  <si>
    <t>AHAMEDH MAFAIS</t>
  </si>
  <si>
    <t>ILHAM IRFAN</t>
  </si>
  <si>
    <t>AHSAN SHAKIR</t>
  </si>
  <si>
    <t>ABDULLAH MUNDHIR</t>
  </si>
  <si>
    <t>SAFRAN  NALEEM</t>
  </si>
  <si>
    <t>IKRAM IRFAN</t>
  </si>
  <si>
    <t>ABDUR RAHMAN JABIR ALI</t>
  </si>
  <si>
    <t>UMAR SAIFULLAH</t>
  </si>
  <si>
    <t>ABDUR RAHMAN ALIYAR</t>
  </si>
  <si>
    <t>MUHAMMADH  MUSHIR KHAN</t>
  </si>
  <si>
    <t>ASA'DH MUSADIQ</t>
  </si>
  <si>
    <t>HUSSAIN  WASEEM</t>
  </si>
  <si>
    <t>MUHAMMADH ASNAF</t>
  </si>
  <si>
    <t>YOOSUF AROOS</t>
  </si>
  <si>
    <t>FASLULLAH IQBAL</t>
  </si>
  <si>
    <t>YAHYA SINAN</t>
  </si>
  <si>
    <t>RIKAS  RIMZAN</t>
  </si>
  <si>
    <t>MUKRIM ZUHAIR</t>
  </si>
  <si>
    <t>ALI FARSHAN</t>
  </si>
  <si>
    <t>USMAN FAZAL</t>
  </si>
  <si>
    <t>ABDUR RAHMAN NIZAR</t>
  </si>
  <si>
    <t>ABDUR RAHMAN RAHMATHULLAH</t>
  </si>
  <si>
    <t>YOONUS MUMTHAZ</t>
  </si>
  <si>
    <t>MUHAMMED YOUSUF RIYAZ</t>
  </si>
  <si>
    <t>ABDULLAH  NIZAR</t>
  </si>
  <si>
    <t>ABDULLAH  JABIR ALI</t>
  </si>
  <si>
    <t>MUHAMED SAJATH HAMZA</t>
  </si>
  <si>
    <t>ISHFAK IRFAN</t>
  </si>
  <si>
    <t>AHMADH  FAIZAL</t>
  </si>
  <si>
    <t>IHLAS IRSHADH</t>
  </si>
  <si>
    <t>AADHIL AMEEN</t>
  </si>
  <si>
    <t>ARKAM SHIFAN</t>
  </si>
  <si>
    <t>MAHMOODH MUSHIR KHAN</t>
  </si>
  <si>
    <t>NAFLAN HASSAN</t>
  </si>
  <si>
    <t>ABDUR RAZZAQ NASEER</t>
  </si>
  <si>
    <t>AMEER ALI FAIROOS</t>
  </si>
  <si>
    <t>ABDUL KHALIQ  FAHRAN</t>
  </si>
  <si>
    <t>SHAHEEDH AHMADH SAMEETH</t>
  </si>
  <si>
    <t>AASIF RIFHAN</t>
  </si>
  <si>
    <t>IMADH ISMATH</t>
  </si>
  <si>
    <t>YOUSUF RILWAN</t>
  </si>
  <si>
    <t>AADHIL SAFRAS</t>
  </si>
  <si>
    <t>BILAL FASLAN</t>
  </si>
  <si>
    <t>SAJEER SAFRAS</t>
  </si>
  <si>
    <t>LUKMAN AROOS</t>
  </si>
  <si>
    <t>RIHAN RIFDHI</t>
  </si>
  <si>
    <t>RAQEEB RIZA</t>
  </si>
  <si>
    <t>ABDULLAH AZEEZUR RAHMAN</t>
  </si>
  <si>
    <t>MUHAMMAD ALI HUSAIN</t>
  </si>
  <si>
    <t>YOONUS NASEER</t>
  </si>
  <si>
    <t>MAHMOODH SABRI</t>
  </si>
  <si>
    <t>HAMIDH SABRI</t>
  </si>
  <si>
    <t>AFEEF SIRAJ</t>
  </si>
  <si>
    <t>ABDUL BASITH FARIS</t>
  </si>
  <si>
    <t>ABDUL BASITH ASSAFF</t>
  </si>
  <si>
    <t>NIHMATHULLAH IMRAN</t>
  </si>
  <si>
    <t>RIMAS AMAN</t>
  </si>
  <si>
    <t>M.R.M. YOOSUF</t>
  </si>
  <si>
    <t>M.A. AMMAR ALI</t>
  </si>
  <si>
    <t xml:space="preserve">M.M. ABDUR RAHMAN </t>
  </si>
  <si>
    <t xml:space="preserve">M.K.M. UMAR </t>
  </si>
  <si>
    <t xml:space="preserve">M.K.M. KAMAR </t>
  </si>
  <si>
    <t>M.R.ABDUL HALIQ</t>
  </si>
  <si>
    <t>M.R.M. ARKAM</t>
  </si>
  <si>
    <t>M.H. USAMA</t>
  </si>
  <si>
    <t>M.F. MAHMOODH</t>
  </si>
  <si>
    <t xml:space="preserve">M.R.M. RAMALAN </t>
  </si>
  <si>
    <t>M.I. ABDULLAH</t>
  </si>
  <si>
    <t>M.I. ZAKIR AHMADH</t>
  </si>
  <si>
    <t>M.M.M. MARWAN</t>
  </si>
  <si>
    <t xml:space="preserve">M.H.M. HAMDHAN </t>
  </si>
  <si>
    <t xml:space="preserve">M.M. HAMDHAN </t>
  </si>
  <si>
    <t>M.I. ABDUR RAZZAQ</t>
  </si>
  <si>
    <t xml:space="preserve">M.A. MUHAMMED </t>
  </si>
  <si>
    <t>M.A.M. ALTHAF</t>
  </si>
  <si>
    <t>S.S. SIRAJUR RAHMAN</t>
  </si>
  <si>
    <t>M.F. YOOSUF</t>
  </si>
  <si>
    <t>M.N.M. NASHATH</t>
  </si>
  <si>
    <t>M.I. YOOSUF AHMADH</t>
  </si>
  <si>
    <t>M.F.M. UMAR</t>
  </si>
  <si>
    <t>M.N.M. ABDULLAH</t>
  </si>
  <si>
    <t>M.F.M. THALHA</t>
  </si>
  <si>
    <t>M.A.M.AATHIF</t>
  </si>
  <si>
    <t>M.N.M.ABDULLAH</t>
  </si>
  <si>
    <t>ISHAK IRSHADH</t>
  </si>
  <si>
    <t xml:space="preserve">M. AABITH AMJATH </t>
  </si>
  <si>
    <t>ASJATH AHMEDH ATHEEK</t>
  </si>
  <si>
    <t>MOHAMMED SUAD SALEEM</t>
  </si>
  <si>
    <t>MOHAMMED YOUSUF MUMTHAZ</t>
  </si>
  <si>
    <t xml:space="preserve">MUAAVIYA SINAN </t>
  </si>
  <si>
    <t>ABDUL HAKEEM MUHAMMED ALI</t>
  </si>
  <si>
    <t>Grade in madrasa</t>
  </si>
  <si>
    <t>Grade in School</t>
  </si>
  <si>
    <t>Section</t>
  </si>
  <si>
    <t>Distric</t>
  </si>
  <si>
    <t>Father 's Status Alive / Deceased</t>
  </si>
  <si>
    <t>H1</t>
  </si>
  <si>
    <t>H2</t>
  </si>
  <si>
    <t>H4</t>
  </si>
  <si>
    <t>H3</t>
  </si>
  <si>
    <t>M.H.M. AADHIL</t>
  </si>
  <si>
    <t>AKMAL ALIFULLAH</t>
  </si>
  <si>
    <t>H5</t>
  </si>
  <si>
    <t>ABDUL AZEEZ FAISAR</t>
  </si>
  <si>
    <t xml:space="preserve"> ZAIDH AHMAD MUHAMMAD RIFDHI</t>
  </si>
  <si>
    <t>Class Usthadh</t>
  </si>
  <si>
    <t>Class</t>
  </si>
  <si>
    <t>Usthadh</t>
  </si>
  <si>
    <t>Father</t>
  </si>
  <si>
    <t>Death</t>
  </si>
  <si>
    <t>Divorce</t>
  </si>
  <si>
    <t>Foreign</t>
  </si>
  <si>
    <t xml:space="preserve">A.ASJATH AHMEDH </t>
  </si>
  <si>
    <t xml:space="preserve">S.IBRAHEEM  </t>
  </si>
  <si>
    <t xml:space="preserve">W.AHMEDH  </t>
  </si>
  <si>
    <t xml:space="preserve">H.AASHIK ILAHI </t>
  </si>
  <si>
    <t xml:space="preserve">F.HALIDH </t>
  </si>
  <si>
    <t xml:space="preserve">S.MOHAMMED HALIDH </t>
  </si>
  <si>
    <t xml:space="preserve">A.M. YAHYA </t>
  </si>
  <si>
    <t xml:space="preserve">N.TALHA </t>
  </si>
  <si>
    <t xml:space="preserve">A.M. ARHAM </t>
  </si>
  <si>
    <t xml:space="preserve">S.M.SUAD </t>
  </si>
  <si>
    <t xml:space="preserve">M.M. YOUSUF </t>
  </si>
  <si>
    <t>M.A.ABDUL HAKEEM</t>
  </si>
  <si>
    <t>M. M. MISHKATH</t>
  </si>
  <si>
    <t xml:space="preserve"> M.R.ZAIDH AHMAD</t>
  </si>
  <si>
    <t xml:space="preserve">M.R.M. AHNAN </t>
  </si>
  <si>
    <t xml:space="preserve">F.ABDUL AZEEZ </t>
  </si>
  <si>
    <t xml:space="preserve">M.M.ABDUR RAMAN </t>
  </si>
  <si>
    <t xml:space="preserve">M.S.M.RIFADH </t>
  </si>
  <si>
    <t>H6</t>
  </si>
  <si>
    <t>Address</t>
  </si>
  <si>
    <t>KALUTARA</t>
  </si>
  <si>
    <t>SHAREEA</t>
  </si>
  <si>
    <t>15/18A, MADAKISSA RD, HORETHUDUWE, KESALWATTA.</t>
  </si>
  <si>
    <t>YES</t>
  </si>
  <si>
    <t>73/6,TSNAMI HOUSES, DHARGA RD, BERUWELA.</t>
  </si>
  <si>
    <t>148/40, KADHIYA WATTA RD, WELIPITIYA, DHARGA TOWN.</t>
  </si>
  <si>
    <t>NO</t>
  </si>
  <si>
    <t>PUTTALAM</t>
  </si>
  <si>
    <t>HIJRA LANE, PUTHUKUDIERUPPU, BATTULU OYA.</t>
  </si>
  <si>
    <t>20/7, S,M LANE, WELPITIYA, DARGA TOWN.</t>
  </si>
  <si>
    <t>41,THOTAWATHA, PANADURA.</t>
  </si>
  <si>
    <t>68/4,MARIKAR STREETS, KALUTHARA SOUTH.</t>
  </si>
  <si>
    <t>387/1, IBRAHEEM HAJIAR MW,  A,BAMUNU MULLA , ATULUGAMA , BANDARA GAMA.</t>
  </si>
  <si>
    <t>16, ZAVIYA RD, MAHAGODA, BERUWELA.</t>
  </si>
  <si>
    <t>TRINCOMALEE</t>
  </si>
  <si>
    <t>104, KINNIYA, ANNA NAGAR.</t>
  </si>
  <si>
    <t>68/4, MARIKAR STREETS, KALUTHARA SOUTH.</t>
  </si>
  <si>
    <t>42/28, ALWIS PLACE, KALUTHARA SOUTH.</t>
  </si>
  <si>
    <t>103, HANAFI MAWATHA, MARADANA, BERUWELA.</t>
  </si>
  <si>
    <t>40/11A, LOTES ROAD, DHARGA TOWN.</t>
  </si>
  <si>
    <t>HAMPANTHOTA</t>
  </si>
  <si>
    <t>J/19, SRI BO PURA, HAMBANTHOTA.</t>
  </si>
  <si>
    <t>155/43, MARADANA RD, BERUWALA.</t>
  </si>
  <si>
    <t>6/3, MORE STREET, KALUTHARA SOUTH.</t>
  </si>
  <si>
    <t>14/B, MUSLIM RD, WELIPPANNA.</t>
  </si>
  <si>
    <t>HIFZ</t>
  </si>
  <si>
    <t>44/C, MAHA HINATHI YANGALA, KALUTHARA.</t>
  </si>
  <si>
    <t>56, MOSQUE ROAD, PALANDHA, AGULAWATTHA.</t>
  </si>
  <si>
    <t>90/5A, GONAYARAMBA, BOGALLA, BERUWELA.</t>
  </si>
  <si>
    <t>423/09, GALLE ROAD, KALUTHARA SOUTH.</t>
  </si>
  <si>
    <t>26, SRI SHANDARMA WAMSHA MAWATTHA, KALUTHARA SOUTH.</t>
  </si>
  <si>
    <t>26/12A, MOOR STREET, KALUTHARA SOUTH.</t>
  </si>
  <si>
    <t>68/3,KEERANTHITIYA RD, BOGALLA, BERUWALA.</t>
  </si>
  <si>
    <t>NO:114/2, AL-MINHAJ LANE,WELIPPENA.</t>
  </si>
  <si>
    <t>NO:121, NOOR MAHAL,THUNDUWA,HABURUGALA.</t>
  </si>
  <si>
    <t>A/21/2/211,MASJID ROAD,ABBALANDUWA, PANADURA.</t>
  </si>
  <si>
    <t>GAMPAHA</t>
  </si>
  <si>
    <t>165/18, VEERATHANIYA WATHAA, PASYALA.</t>
  </si>
  <si>
    <t>42/28, A.D ALWIS PLACE, KALUTHARA SOUTH.</t>
  </si>
  <si>
    <t xml:space="preserve"> 64,WETHIMA RAJA PURA , MARADANA, BERUWALA.</t>
  </si>
  <si>
    <t>72/3, MUSLIM STREET, TANGALLA.</t>
  </si>
  <si>
    <t>120,JAYA SUNDARA MW, KALUTARA SOUTH</t>
  </si>
  <si>
    <t>FAIROOS</t>
  </si>
  <si>
    <t>IRSHADH</t>
  </si>
  <si>
    <t>107,MARADANA, BERUWALA.</t>
  </si>
  <si>
    <t>AMEEN</t>
  </si>
  <si>
    <t>26/16H, MOOR STREET, KALUTARA SOUTH.</t>
  </si>
  <si>
    <t>SHIFAN</t>
  </si>
  <si>
    <t>30/5A, KADIYA WATTA ROAD, DARGA TOWN.</t>
  </si>
  <si>
    <t>HASSAN</t>
  </si>
  <si>
    <t>12/1, KETHARAMA ROAD, KALUTARA SOUTH.</t>
  </si>
  <si>
    <t>NASEER</t>
  </si>
  <si>
    <t>55/15,RASIK MARIKAR MW, BERUWALA.</t>
  </si>
  <si>
    <t>ISMATH</t>
  </si>
  <si>
    <t>79/91,NADUKKARA WATTA, AMBEPITIYA, BERUWALA.</t>
  </si>
  <si>
    <t>RILWAN</t>
  </si>
  <si>
    <t>SAFRAS</t>
  </si>
  <si>
    <t>136/5, ABDUL MUYEEN MAWATHA, MALIGAHENA.</t>
  </si>
  <si>
    <t>FASLAN</t>
  </si>
  <si>
    <t>222/49A, ABDUL MUYEENS MAWATHA, OLD ROAD, BERUWALA.</t>
  </si>
  <si>
    <t>80, WETTIMA RAJA PURA, MARADANA, BERUWALA.</t>
  </si>
  <si>
    <t>13, MUSLIM ROAD, WELIPPANNA.</t>
  </si>
  <si>
    <t>RIFHDHI</t>
  </si>
  <si>
    <t>773708755 / 768668755</t>
  </si>
  <si>
    <t>RIZA</t>
  </si>
  <si>
    <t>04.01.2023</t>
  </si>
  <si>
    <t>29/SC, MIHIDU MW, WERAWATTA, PANADURA,</t>
  </si>
  <si>
    <t>AZEERUR RAHMAN</t>
  </si>
  <si>
    <t>142, AMBALANDUWA, PANADURA.</t>
  </si>
  <si>
    <t>25,ZAVIA ROAD, MAHAGODA, BERUWALA.</t>
  </si>
  <si>
    <t>181, HILL STREET, KALUTARA SOUTH.</t>
  </si>
  <si>
    <t>56/A, INDURLIGODA,</t>
  </si>
  <si>
    <t>14.01.2023</t>
  </si>
  <si>
    <t>95/C, GORAKADUWA, MARADANA, BERUWALA.</t>
  </si>
  <si>
    <t>AHAMAD ASSAFF</t>
  </si>
  <si>
    <t>215/1, MARADANA. BERUWALA.</t>
  </si>
  <si>
    <t>AATHIF SAFRAN</t>
  </si>
  <si>
    <t>MUHAMMAD SAFRAN</t>
  </si>
  <si>
    <t>31/5F, JONE ROAD, KALUTARA SOUTH.</t>
  </si>
  <si>
    <t>25.01.2023</t>
  </si>
  <si>
    <t>30/1A, MOLLIYA MALA, BERUWALA.</t>
  </si>
  <si>
    <t>13.02.2023</t>
  </si>
  <si>
    <t>37/30, HANAFI MW, MARADANA, BERUWALA.</t>
  </si>
  <si>
    <t>07.01.2024</t>
  </si>
  <si>
    <t>KALUTHARA</t>
  </si>
  <si>
    <t>74/5 A, NEW KANGANANGODA  CHINA FORT, BERUWALA</t>
  </si>
  <si>
    <t>75/A HENA ROAD, MARAKKALA WATTHA, BERUWALA</t>
  </si>
  <si>
    <t>1/A 33/5, POLWATTHA, AMBEPITIYA, BERUWALA</t>
  </si>
  <si>
    <t>214/D, BAKKARY ROAD, AMBALANDHUWA, PANADURA</t>
  </si>
  <si>
    <t xml:space="preserve">74, MARIKKAR ROAD, KALUTHARA SOUTH </t>
  </si>
  <si>
    <t>222/48 C, ABDUL MUEEZ MAWATTHA, OLD ROAD,MARDANA BERUWALA</t>
  </si>
  <si>
    <t>80, WETTIMI RAJAPURA, MARDANA, BERUWALA</t>
  </si>
  <si>
    <t>24, MARAKKALA WATTHA, BERUWALA</t>
  </si>
  <si>
    <t>366/A, NEW ROAD AKKARAMALA, MAGGONA</t>
  </si>
  <si>
    <t>73/6 DHARGA ROAD KUTTIMALA, CHINA FORT, BERUWALA</t>
  </si>
  <si>
    <t>853/3 GOLD ROAD, KATUKURUNDA, KALUTHARA</t>
  </si>
  <si>
    <t xml:space="preserve">COLOMBO </t>
  </si>
  <si>
    <t>102/25, DONALD PERARA MAWATTHA, KOHILAWATTHA</t>
  </si>
  <si>
    <t>2/2 A, RAHMAN ROAD, THOTTAWATTHA, PANADURA</t>
  </si>
  <si>
    <t>67/10, PETRIC WATTHA, AMBALANDUWA, PANADURA</t>
  </si>
  <si>
    <t>53/1, MOST ROAD, THOTTAWATTHA, PANADURA</t>
  </si>
  <si>
    <t>203 B, HENA ROAD, BERUWALA</t>
  </si>
  <si>
    <t>37/18 A, AARIYAWANSA MAWATTHA, KANGANANGODA, BERUWALA</t>
  </si>
  <si>
    <t>120, JEYA SUNDHARA MAWATTHA, KALUTHARA</t>
  </si>
  <si>
    <t>40/2, ATHUKALANAWA, SENAPURA, POLANNARUWA</t>
  </si>
  <si>
    <t>86/5 A, SAMAGIPURA, KANGANANPURA, BERUWALA</t>
  </si>
  <si>
    <t>20, RAZIK ROAD, THOTAWATTA, PANADURA.</t>
  </si>
  <si>
    <t>239, AMBALANDUWA, PANADURA.</t>
  </si>
  <si>
    <t>19.08.2024</t>
  </si>
  <si>
    <t>25/1, S.M LANE , DARGA TOWN</t>
  </si>
  <si>
    <t>077 84 26833</t>
  </si>
  <si>
    <t>25/08/2024</t>
  </si>
  <si>
    <t>31/20,  MARAKKALA WATTA, BERUWALA.</t>
  </si>
  <si>
    <t xml:space="preserve"> </t>
  </si>
  <si>
    <t>Contact Number</t>
  </si>
  <si>
    <t>M.A. ISHAQ</t>
  </si>
  <si>
    <t>ed;dlj;ijg; Gs;sp</t>
  </si>
  <si>
    <t>khztu; ngau;</t>
  </si>
  <si>
    <t>Rl;byf;fk;</t>
  </si>
  <si>
    <t>c];jhj; ngau;……………………….………..</t>
  </si>
  <si>
    <t>M.M.M.MAHDY</t>
  </si>
  <si>
    <t>M.S.YOUNUS</t>
  </si>
  <si>
    <t>M.A.AHMED NASHADH</t>
  </si>
  <si>
    <t>I.M.INHAM</t>
  </si>
  <si>
    <t>M.H.HAMMADH AHMED</t>
  </si>
  <si>
    <t>755881563 0740685959</t>
  </si>
  <si>
    <t>27/A, SAMAD MAWATHA, BERUWALA.</t>
  </si>
  <si>
    <t>N.I.C Number</t>
  </si>
  <si>
    <t>Contact</t>
  </si>
  <si>
    <t>Date of Birth</t>
  </si>
  <si>
    <t>Age</t>
  </si>
  <si>
    <t>Class Usthadh Contact Number</t>
  </si>
  <si>
    <t>m\;-N\f; \{f;up (mjpgu;)</t>
  </si>
  <si>
    <t>077 9100 146 / 075 0473 738</t>
  </si>
  <si>
    <t>m\;-N\f; ig&amp;];</t>
  </si>
  <si>
    <t>0774223214  / 0757289527</t>
  </si>
  <si>
    <t>m\;-N\f; ghap]Pd;</t>
  </si>
  <si>
    <t>0775020033  / 0761792209</t>
  </si>
  <si>
    <t>m\;-N\f; `u;]hd;</t>
  </si>
  <si>
    <t>0774746493  / 0719150788</t>
  </si>
  <si>
    <t>m\;-N\f; ,y;`hk;</t>
  </si>
  <si>
    <t xml:space="preserve">0775771676  / 0754618392 </t>
  </si>
  <si>
    <t>m\;-N\f; ,`;jp\hk;</t>
  </si>
  <si>
    <t>0770836023  / 0783027491</t>
  </si>
  <si>
    <t>m\;-N\f; \`Pu; m`;kj;</t>
  </si>
  <si>
    <t>m\;-N\f; md;]g;</t>
  </si>
  <si>
    <t>0723176798  / 0774022127</t>
  </si>
  <si>
    <t>m\;-N\f; md;gh];</t>
  </si>
  <si>
    <t>m\;-N\f; Kd;j]pu;</t>
  </si>
  <si>
    <t>0762663436  / 0755050300</t>
  </si>
  <si>
    <t>m\;-N\f; mg;Jy;yh`;</t>
  </si>
  <si>
    <t>`pg;o; gpupT c];jhj;khu;fs;</t>
  </si>
  <si>
    <t>m\;-N\f; ekP];</t>
  </si>
  <si>
    <t>0752272352  / 0789579567</t>
  </si>
  <si>
    <t>m\;-N\f; ,];]j;</t>
  </si>
  <si>
    <t>0757277859  / 0763474114</t>
  </si>
  <si>
    <t>m\;-N\f; ,f;uhk;</t>
  </si>
  <si>
    <t>m\;-N\f; gth];</t>
  </si>
  <si>
    <t>m\;-N\f; K`k;kj;</t>
  </si>
  <si>
    <t>m\;-N\f; \Puh];</t>
  </si>
  <si>
    <t>epUthfj;jpdu;</t>
  </si>
  <si>
    <t>my;-`h[; `pjhk;</t>
  </si>
  <si>
    <t>my;-`h[; ngs]hd;</t>
  </si>
  <si>
    <t>[dhg; kgh`pk;</t>
  </si>
  <si>
    <t>Mrpupau; ,\;ghf;</t>
  </si>
  <si>
    <t>0772628787 / 0754054249</t>
  </si>
  <si>
    <t>Ash-Shaikh   Ansaf</t>
  </si>
  <si>
    <t>Date of Admision</t>
  </si>
  <si>
    <t>A.L.M.AKMAL</t>
  </si>
  <si>
    <t>ABDUL LATHEEF MUHAMMAD AKMAL</t>
  </si>
  <si>
    <t>M.I.M.ISHFAQ</t>
  </si>
  <si>
    <t>MUHAMMAD ILFAN MUHAMMAD ISHFAQ</t>
  </si>
  <si>
    <t>M.A.M.FAISAL</t>
  </si>
  <si>
    <t>MUHAMMAD ASHRAF MUHAMMAD  FAISAL</t>
  </si>
  <si>
    <t>M.R.ABDUR RAHMAN</t>
  </si>
  <si>
    <t>MUHAMMAD RIZWAN ABDUR RAHMAN</t>
  </si>
  <si>
    <t xml:space="preserve">M.M. ABDULLAH </t>
  </si>
  <si>
    <t>MUHAMMAD MUNDHIR ABDULLAH</t>
  </si>
  <si>
    <t>M.R.M.RIKAS</t>
  </si>
  <si>
    <t>MUHAMMAD RIMSAN MUHAMMAD RIKAS</t>
  </si>
  <si>
    <t>M.I.M. ILHAM</t>
  </si>
  <si>
    <t>MUHAMMAD IRFAN MUHAMMAD ILHAM</t>
  </si>
  <si>
    <t>M.S.M.AHSAN</t>
  </si>
  <si>
    <t>MUHAMMAD SHAKIR  MUHAMMAD AHSAN</t>
  </si>
  <si>
    <t>M.A.ABDUR RAHMAN</t>
  </si>
  <si>
    <t>MUHAMMAD ALIYAR ABDUR RAHMAN</t>
  </si>
  <si>
    <t>M.M.AHMAD</t>
  </si>
  <si>
    <t>MMUHAMMAD MAFAIZ AHMAD</t>
  </si>
  <si>
    <t>N.M.SHAFRAN</t>
  </si>
  <si>
    <t>NALEEM MUHAMMAD SAFRAN</t>
  </si>
  <si>
    <t>M.I.M. IKRAM</t>
  </si>
  <si>
    <t>MUHAMMAD IRFAN MUHAMMAD IKRAM</t>
  </si>
  <si>
    <t>J.A.ABDUR RAHMAN</t>
  </si>
  <si>
    <t>JABIR ALI ABDUR RAHAMN</t>
  </si>
  <si>
    <t>M.S.UMAR</t>
  </si>
  <si>
    <t>MUHAMMAD SAIFULLAH UMAR</t>
  </si>
  <si>
    <t>M.M.MUHAMMAD</t>
  </si>
  <si>
    <t>MUHAMMAD MUSHEER KHAN MUHAMMAD</t>
  </si>
  <si>
    <t>M.M.M.AS'ADH</t>
  </si>
  <si>
    <t>MUHAMMAD MUSADHIK MUHAMMAD AS'ADH</t>
  </si>
  <si>
    <t>A.H.MUHAMMAD</t>
  </si>
  <si>
    <t>ASNAF HASAN MUHAMMAD</t>
  </si>
  <si>
    <t xml:space="preserve">M.I.ISHFAQ </t>
  </si>
  <si>
    <t>MUHAMMAD IRFAN ISHFAQ AHMADH</t>
  </si>
  <si>
    <t>M.F.AHMADH</t>
  </si>
  <si>
    <t>MUHAMMAD FAISAL AHMADH</t>
  </si>
  <si>
    <t>M.I.ABDULLAH</t>
  </si>
  <si>
    <t>MUHAMMAD IJAZ ABDULLAH</t>
  </si>
  <si>
    <t>M.W.M.HUSAIN</t>
  </si>
  <si>
    <t>MUHAMMAD WASEEM MUHAMMAD HUSAIN</t>
  </si>
  <si>
    <t>M.A.M.YOOSUF</t>
  </si>
  <si>
    <t>MUHAMMAD AROOS MUHAMMAD YOOSUF</t>
  </si>
  <si>
    <t>M.H.M. MUHAMMAD ALI</t>
  </si>
  <si>
    <t>MUHAMMAD HUSAIN MUHAMMAD ALI</t>
  </si>
  <si>
    <t>M.N.M. YOUNUS</t>
  </si>
  <si>
    <t>MUHAMMAD NASEER MUHAMMAD YOUNUS</t>
  </si>
  <si>
    <t>M.S.MAHMOODH</t>
  </si>
  <si>
    <t>MUHAMMAD SABRY MAHMOODH</t>
  </si>
  <si>
    <t>M.F.ABDUL BASITH</t>
  </si>
  <si>
    <t>MUHAMMAD FARIS ABDUL BASITH</t>
  </si>
  <si>
    <t>M.I.M.NIHMATHULLAH</t>
  </si>
  <si>
    <t>MUHAMMAD IMRAN MUHAMMAD NIHMATHULLAH</t>
  </si>
  <si>
    <t>M.A.M.RIMAS</t>
  </si>
  <si>
    <t>MUHAMMAD AMAN MUHAMMAD RIMAS</t>
  </si>
  <si>
    <t>M.I.M.FASRULLAH</t>
  </si>
  <si>
    <t>MUHAMMAD IQBAL MUHAMMAD FASRULLAH</t>
  </si>
  <si>
    <t>M.S.M.YAHYA</t>
  </si>
  <si>
    <t>MUHAMMAD SINAN MUHAMMAD YAHYA</t>
  </si>
  <si>
    <t>M.Z.M.MUKRIM</t>
  </si>
  <si>
    <t>MUHAMMAD ZUHAIR MUHAMMAD MUKRIM</t>
  </si>
  <si>
    <t>M.F.MUHAMMAD ALI</t>
  </si>
  <si>
    <t>MUHAMMAD FARSAN MUHAMMAD ALI</t>
  </si>
  <si>
    <t>M.F.M.USMAN</t>
  </si>
  <si>
    <t>MUHAMMAD FASAL MUHAMMAD USMAN</t>
  </si>
  <si>
    <t>M.N.ABDUR RAHMAN</t>
  </si>
  <si>
    <t>MUHAMMAD NISAR ABDUR RAHMAN</t>
  </si>
  <si>
    <t>MUHAMMAD RAHMATHUULAH ABDUR RAHMAN</t>
  </si>
  <si>
    <t>M.M.M.YOUNUS</t>
  </si>
  <si>
    <t>MUHAMMAD MUMTHAZ MUHAMMAD YOUNUS</t>
  </si>
  <si>
    <t>M.R.M.YOUSUF</t>
  </si>
  <si>
    <t>MUHAMMAD RIYAS MUHAMMAD YOUSUF</t>
  </si>
  <si>
    <t>M.N.ABDULLAH</t>
  </si>
  <si>
    <t>MUHAMMAD NISAR ABDULLAH</t>
  </si>
  <si>
    <t>J.A.ABDULLAH</t>
  </si>
  <si>
    <t>JABIR ALI ABDULLAH</t>
  </si>
  <si>
    <t>M.H.M.SAJATH</t>
  </si>
  <si>
    <t>MUHAMMAD HAMZA MUHAMMAD SAJATH</t>
  </si>
  <si>
    <t>M.M.ABDUR RAHMAN</t>
  </si>
  <si>
    <t>MUHAMMAD MANSOOR ABDUR RAHMAN</t>
  </si>
  <si>
    <t xml:space="preserve">M.R.M.RAMALAN </t>
  </si>
  <si>
    <t>MUHAMMAD RIMZAN MUHAMMAD RAMALAN</t>
  </si>
  <si>
    <t>MUHAMMAD ILFAN ABDULLAH</t>
  </si>
  <si>
    <t>M.I.ZAKIR AHMEDH</t>
  </si>
  <si>
    <t>MUHAMMAD IRSAN ZAKIR AHMADH</t>
  </si>
  <si>
    <t>M.M.M.MARWAN</t>
  </si>
  <si>
    <t>MUHAMMAD MIFRAZ MUHAMMAD MARWAN</t>
  </si>
  <si>
    <t>M.F.M.UMAR</t>
  </si>
  <si>
    <t>MUHAMMAD FAROOK MUHAMMAD UMAR</t>
  </si>
  <si>
    <t>MUHAMMAD NASEER ABDULLAH</t>
  </si>
  <si>
    <t>Admision No:</t>
  </si>
  <si>
    <t>Usthadh Contact Number</t>
  </si>
  <si>
    <t xml:space="preserve"> Name with initial</t>
  </si>
  <si>
    <t>Full Name</t>
  </si>
  <si>
    <t>Grade( in madrasa)</t>
  </si>
  <si>
    <t>Grade  (in School Subjects)</t>
  </si>
  <si>
    <t>MOHAMMED NAYEEM MUHAMMED ABDULLAH</t>
  </si>
  <si>
    <t>MUHAMMED IMRAN</t>
  </si>
  <si>
    <t>0776129799  /  0772210918</t>
  </si>
  <si>
    <t>M.N.HAMDHAN</t>
  </si>
  <si>
    <t>MOHAMMED NUHAIR HAMDHAN</t>
  </si>
  <si>
    <t>MATARA</t>
  </si>
  <si>
    <t>432/1, KORAWELA, ATULUGAMA, BANDARAGAMA.</t>
  </si>
  <si>
    <t xml:space="preserve">0707187273  /  </t>
  </si>
  <si>
    <t>MOHAMED HASNI HAMMADH AHMED</t>
  </si>
  <si>
    <t>37, SCHOOL ROAD, GALAGAHA WATTHA, MAGGONA.</t>
  </si>
  <si>
    <t>M.L.UMAR</t>
  </si>
  <si>
    <t>MOHAMED LIYAWDEEN UMAR</t>
  </si>
  <si>
    <t>36/1A, DEMATAGOLLA, UKUWELA.</t>
  </si>
  <si>
    <t>MOHAMED AROOS AHMED NASHAD</t>
  </si>
  <si>
    <t>15, HIJRA MAWATHA, HENAMULLA, PANADURA.</t>
  </si>
  <si>
    <t>0761256606 / 0752637373</t>
  </si>
  <si>
    <t>MOHAMAD MAHBOOB MOHAMED MAHDHY</t>
  </si>
  <si>
    <t>RATNAPURA</t>
  </si>
  <si>
    <t>289/2, RAKWANA ROAD, KAHAWATTA.</t>
  </si>
  <si>
    <t>0772180651  /  0720674319</t>
  </si>
  <si>
    <t>MOHAMED SULFIKAR YOONUS</t>
  </si>
  <si>
    <t>24,ZAIDH MANZIL, AKKARAMALA, MAGGONA.</t>
  </si>
  <si>
    <t>0776707518  /  0761525606</t>
  </si>
  <si>
    <t>MUHAMMED NUSRATH MUHAMMED YASIR</t>
  </si>
  <si>
    <t>M.N.M. YASIR</t>
  </si>
  <si>
    <t>51/11, OLD ROAD , MOLLIYAMALA, BERUWALA.</t>
  </si>
  <si>
    <t xml:space="preserve">0778482789  / </t>
  </si>
  <si>
    <t>M.N.M. AHMED BILAL</t>
  </si>
  <si>
    <t>MUHAMMED NUSRATH AHMED BILAL</t>
  </si>
  <si>
    <t>M.T.YOONUS</t>
  </si>
  <si>
    <t>MUHAMMEDH THASLEEM YOONUS</t>
  </si>
  <si>
    <t>MATALA</t>
  </si>
  <si>
    <t>26/7, AROOSIYA MAWATHA, NEW STREET, WELIGAMA.</t>
  </si>
  <si>
    <t xml:space="preserve">0770666798  / </t>
  </si>
  <si>
    <t>111/7, MUNHENA ROAD, MAHAHOVITA, PANNILA, BERUWALA.</t>
  </si>
  <si>
    <t>25, S.M LANE ,DARGA TOWN.</t>
  </si>
  <si>
    <t>212/B1, RATHMAL KATUWA, INAMALUWA, MATALA.</t>
  </si>
  <si>
    <t>M.T.H.M.HASHID</t>
  </si>
  <si>
    <t>MUHAMMED THUWAN HAROON MUHAMMED HASHID</t>
  </si>
  <si>
    <t>1085/A, DALUPITIYA ROAD, HUNUPITIYA, WATTALA.</t>
  </si>
  <si>
    <t>0770186719  /  0779365763</t>
  </si>
  <si>
    <t>M.N.M.RIMAS</t>
  </si>
  <si>
    <t>MOHAMED NIFAN MOHAMED RIMAS</t>
  </si>
  <si>
    <t>31/30,MARAKALA WATHA, BERUWALA.</t>
  </si>
  <si>
    <t>0778122462 / 0778330901 /0770499462</t>
  </si>
  <si>
    <t>M.N.ABDUL AZEEZ</t>
  </si>
  <si>
    <t>MUHAMMED NUSRI  ABDUL AZEEZ</t>
  </si>
  <si>
    <t>34/5, INTHIRLIYA GODA , MAGGONA.</t>
  </si>
  <si>
    <t>0776921286 / 0778562107 / 0779864356</t>
  </si>
  <si>
    <t>M.H.HAMDHAN AHMED</t>
  </si>
  <si>
    <t>MUHAMMED HASNI HAMDHAN AHMED</t>
  </si>
  <si>
    <t>M.R.M.YAHYA</t>
  </si>
  <si>
    <t>M.R.M.AREEF</t>
  </si>
  <si>
    <t>MUHAMMED RIKAN MUHAMMED AREEF</t>
  </si>
  <si>
    <t>88, DHARGA ROAD, CHINAFORT, BERUWALA.</t>
  </si>
  <si>
    <t>0778000076 / 0770030076</t>
  </si>
  <si>
    <t>M.H.ABDUL RAHEEM</t>
  </si>
  <si>
    <t>MUHAMMED HUSAIN ABDUL RAHEEM</t>
  </si>
  <si>
    <t>0772929235 / 0778191972</t>
  </si>
  <si>
    <t>M.Z.M.ZAMIL</t>
  </si>
  <si>
    <t>MOHAMED ZIYARD MOHAMED ZAMIL</t>
  </si>
  <si>
    <t>88/33, S.M. ROAD, WELIPITY, DARGA TOWN.</t>
  </si>
  <si>
    <t xml:space="preserve">0772442575  / </t>
  </si>
  <si>
    <t>F.AHNAF AHMED</t>
  </si>
  <si>
    <t>FAIS AHNAF AHMED</t>
  </si>
  <si>
    <t>190/55, DHIGGALA ROAD , KESAL WATTA, PANADURA.</t>
  </si>
  <si>
    <t xml:space="preserve">0773959188  / </t>
  </si>
  <si>
    <t>M.N.NASIF AHMED</t>
  </si>
  <si>
    <t>MUHAMMED NASRIF NASIF AHMED</t>
  </si>
  <si>
    <t>31, MUSLIM SCHOOL ROAD, PALNDA.</t>
  </si>
  <si>
    <t>0781675974 / 0764987203</t>
  </si>
  <si>
    <t>M.R.AHMED</t>
  </si>
  <si>
    <t>MUHAMMED RIMSAN AHMED</t>
  </si>
  <si>
    <t>KANDA WEHARA ROAD, MASJID LANE , SEENA WATTA, ALUTHGAMA.</t>
  </si>
  <si>
    <t>0771649151 / 0755135150</t>
  </si>
  <si>
    <t>M.I.M.IMADH</t>
  </si>
  <si>
    <t>MUHAMMED IMRAM MUHAMMED IMADH</t>
  </si>
  <si>
    <t>MONARAGALA</t>
  </si>
  <si>
    <t>27, SCHOOL ROAD, ALUPATHA, BADAL KUMBURA.</t>
  </si>
  <si>
    <t xml:space="preserve">0773504102 / </t>
  </si>
  <si>
    <t>M.F.BILAL</t>
  </si>
  <si>
    <t>MUHAMMED FARSAN BILAL</t>
  </si>
  <si>
    <t>771638348 / 0759512632</t>
  </si>
  <si>
    <t xml:space="preserve">M.F.ABDUL KHALIQ  </t>
  </si>
  <si>
    <t xml:space="preserve">MUHAMMED FAHRAN ABDUL KHALIQ  </t>
  </si>
  <si>
    <t>MUHAMMAD AROOS MUHAMMAD LUKMAN</t>
  </si>
  <si>
    <t xml:space="preserve">M.A.M.LUKMAN </t>
  </si>
  <si>
    <t>MUHAMMED RIFKAN MUHAMMED YOOSUF</t>
  </si>
  <si>
    <t>MUHAMMED ATHEEQ AMMAR ALI</t>
  </si>
  <si>
    <t xml:space="preserve">MUHAMMED KABEER MUHAMMED UMAR </t>
  </si>
  <si>
    <t xml:space="preserve">MUHAMMED KABEER MUHAMMED KAMAR </t>
  </si>
  <si>
    <t>MUHAMMED RIFAS ABDUL HALIQ</t>
  </si>
  <si>
    <t>MUHAMMED RISAN MUHAMMED ARKAM</t>
  </si>
  <si>
    <t>MUHAMMED HUSSAIN  USAMA</t>
  </si>
  <si>
    <t>MUAHMMED FAHMY MAHMOODH</t>
  </si>
  <si>
    <t xml:space="preserve">MUHAMMED HARIS MUHAMMED HAMDHAN </t>
  </si>
  <si>
    <t xml:space="preserve">MUHAMMED MUJEEB HAMDHAN </t>
  </si>
  <si>
    <t>MUHAMMED IKRAM ABDUR RAZZAQ</t>
  </si>
  <si>
    <t xml:space="preserve">MUHAMMED ASLAM MUHAMMED </t>
  </si>
  <si>
    <t>MUHAMMED ASLAM ALTHAF</t>
  </si>
  <si>
    <t>SHAIK SULAIMAN SIRAJUR RAHMAN</t>
  </si>
  <si>
    <t>MUHAMMED FAIZAL  YOOSUF</t>
  </si>
  <si>
    <t>MUHAMMED NAFAS NASHATH</t>
  </si>
  <si>
    <t>MUHAMMED IRSHADH YOOSUF AHMADH</t>
  </si>
  <si>
    <t>MUHAMMED HAMZA MUHAMMED AADHIL</t>
  </si>
  <si>
    <t>MUHAMMAD FAHMY MUHAMMED THALHA</t>
  </si>
  <si>
    <t>MUHAMMED AZHAR MUHAMMED AATHIF</t>
  </si>
  <si>
    <t xml:space="preserve">MUHAMMED AABITH AMJATH </t>
  </si>
  <si>
    <t>MUHAMMED AROOS ISHAQ</t>
  </si>
  <si>
    <t xml:space="preserve">SHIFAN IBRAHEEM </t>
  </si>
  <si>
    <t xml:space="preserve">WASEEM AHMEDH  </t>
  </si>
  <si>
    <t xml:space="preserve">HISHAM AASHIK ILAHI </t>
  </si>
  <si>
    <t xml:space="preserve">FAZAL HALIDH </t>
  </si>
  <si>
    <t xml:space="preserve">SEERAS MOHAMMED HALIDH </t>
  </si>
  <si>
    <t xml:space="preserve">ASHRAF MOHAMMED YAHYA </t>
  </si>
  <si>
    <t xml:space="preserve">NASRULLAH TALHA </t>
  </si>
  <si>
    <t xml:space="preserve">AKBAR MOHAMMED ARHAM </t>
  </si>
  <si>
    <t>MUHAMMED MAKEEN MUHAMMED MISHKATH</t>
  </si>
  <si>
    <t xml:space="preserve"> MUHAMMED AHNAN MUHAMMED RISWAN</t>
  </si>
  <si>
    <t>MUHAMMED ABDUR RAMAN MUFASSAL</t>
  </si>
  <si>
    <t>MUHAMMED RIFADH MUHAMMED SHIYAM</t>
  </si>
  <si>
    <t>M.S.AATHIF</t>
  </si>
  <si>
    <t xml:space="preserve">M.S.AFEEF </t>
  </si>
  <si>
    <t>MUHAMMAD SIRAJ AFEEF</t>
  </si>
  <si>
    <t>MUHAMMAD SABRY HAMIDH</t>
  </si>
  <si>
    <t xml:space="preserve">M.S.HAMIDH </t>
  </si>
  <si>
    <t>MUSHIR KHAN MUSHI KHAN</t>
  </si>
  <si>
    <t xml:space="preserve">M.MAHMOODH </t>
  </si>
  <si>
    <t>SAMEETH SHAHEEDH AHMADH</t>
  </si>
  <si>
    <t xml:space="preserve">S.SHAHEEDH AHMADH </t>
  </si>
  <si>
    <t>MUHAMMED RIFKAN AASIF</t>
  </si>
  <si>
    <t>M.R.AASIF</t>
  </si>
  <si>
    <t>0777705940 / 0755764243</t>
  </si>
  <si>
    <t xml:space="preserve">0769455844 / 0774008535 </t>
  </si>
  <si>
    <t xml:space="preserve">0770333163 / 0778620559 </t>
  </si>
  <si>
    <t xml:space="preserve">0717257977 / 0775856331 </t>
  </si>
  <si>
    <t xml:space="preserve">0768822240 / 0778119004 </t>
  </si>
  <si>
    <t xml:space="preserve">0777520145 / 0758528229 </t>
  </si>
  <si>
    <t xml:space="preserve">0725615702 / 0725615722 </t>
  </si>
  <si>
    <t>0717255136   / 0714096631</t>
  </si>
  <si>
    <t>0715975212   / 0774693164</t>
  </si>
  <si>
    <t>0762711571  / 0760129841</t>
  </si>
  <si>
    <t>0759357264   /  0770761884</t>
  </si>
  <si>
    <t>755881563  / 0740685959</t>
  </si>
  <si>
    <t>0776195516 / 0770569292</t>
  </si>
  <si>
    <t>0771170550    / 0766834419</t>
  </si>
  <si>
    <t>0772055764  /  0772090657</t>
  </si>
  <si>
    <t>0772055764   / 0772090657</t>
  </si>
  <si>
    <t>0779536353   / 0773689885</t>
  </si>
  <si>
    <t>0777492260    /  0750165011</t>
  </si>
  <si>
    <t>0772929235   / 0778191972</t>
  </si>
  <si>
    <t>0779460601    / 0778763547</t>
  </si>
  <si>
    <t>0771910104    /  0756619921</t>
  </si>
  <si>
    <t>0774008535    /   0764343585</t>
  </si>
  <si>
    <t>0769772752   /   0773542205</t>
  </si>
  <si>
    <t>0760755266    /   0773415772</t>
  </si>
  <si>
    <t>0752497496    / 0722151131</t>
  </si>
  <si>
    <t>0756974428    /  0775528005</t>
  </si>
  <si>
    <t>772274379  / 0779215683</t>
  </si>
  <si>
    <t>768362209    / 0758261253   / 0772775377</t>
  </si>
  <si>
    <t>0713097924  / 0773140235</t>
  </si>
  <si>
    <t>0771352534   / 0753744717</t>
  </si>
  <si>
    <t>H7</t>
  </si>
  <si>
    <t>MUHAMMAD SABRY AQIB</t>
  </si>
  <si>
    <t>M.S.AQIB</t>
  </si>
  <si>
    <t>ASH-SHAIKH   FAYZEEN</t>
  </si>
  <si>
    <t>ASH-SHAIKH ILHAM</t>
  </si>
  <si>
    <t>ASH-SHAIKH IHTHISHAM</t>
  </si>
  <si>
    <t>ASH-SHAIKH MUNTHASIR</t>
  </si>
  <si>
    <t>ASH-SHAIKH HARSAN</t>
  </si>
  <si>
    <t>ASH-SHAIKH SHAHEER AHMED</t>
  </si>
  <si>
    <t>SHAREE'AH</t>
  </si>
  <si>
    <t>Student Details   2026</t>
  </si>
  <si>
    <t>MUHAMMED RIYAS MUHAMMED YAHYA</t>
  </si>
  <si>
    <t>9+</t>
  </si>
  <si>
    <t>M.I.M.YOOSUF</t>
  </si>
  <si>
    <t>MOHAMED ISMATH MOHAMED TOOSUF</t>
  </si>
  <si>
    <t>11/A, Mousqe Road , Beruwala</t>
  </si>
  <si>
    <t>0773720078 / 0767153253</t>
  </si>
  <si>
    <t>Admision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</si>
</sst>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dd/mm/yyyy"/>
    <numFmt numFmtId="166" formatCode="[$-F800]dddd\,\ mmmm\ dd\,\ yyyy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2"/>
      <color rgb="FF000000"/>
      <name val="Kalaham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1"/>
      <scheme val="minor"/>
    </font>
    <font>
      <sz val="12"/>
      <color theme="1"/>
      <name val="Acclaim"/>
    </font>
    <font>
      <sz val="14"/>
      <color theme="1"/>
      <name val="Acclaim"/>
    </font>
    <font>
      <sz val="11"/>
      <color theme="1"/>
      <name val="Kalaham"/>
    </font>
    <font>
      <sz val="10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rgb="FF3F3F3F"/>
      <name val="Calibri"/>
      <family val="2"/>
      <scheme val="minor"/>
    </font>
    <font>
      <sz val="11"/>
      <color rgb="FF31849B"/>
      <name val="Calibri"/>
      <family val="2"/>
      <scheme val="minor"/>
    </font>
    <font>
      <b/>
      <sz val="20"/>
      <color rgb="FF000000"/>
      <name val="Kalaham"/>
    </font>
    <font>
      <b/>
      <sz val="14"/>
      <color rgb="FF000000"/>
      <name val="Calibri"/>
      <family val="2"/>
      <scheme val="minor"/>
    </font>
    <font>
      <sz val="14"/>
      <color rgb="FF31849B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mbria"/>
      <family val="1"/>
    </font>
    <font>
      <sz val="12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4"/>
      <color theme="1"/>
      <name val="Cambria"/>
      <family val="1"/>
      <scheme val="major"/>
    </font>
    <font>
      <b/>
      <sz val="18"/>
      <color theme="1"/>
      <name val="Calibri"/>
      <family val="2"/>
      <scheme val="minor"/>
    </font>
    <font>
      <b/>
      <sz val="13"/>
      <color rgb="FF3F3F3F"/>
      <name val="Calibri"/>
      <family val="2"/>
      <scheme val="minor"/>
    </font>
    <font>
      <b/>
      <sz val="11"/>
      <color theme="1"/>
      <name val="Kalaham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92CDDC"/>
      </right>
      <top style="medium">
        <color rgb="FF92CDDC"/>
      </top>
      <bottom style="thick">
        <color rgb="FF92CDDC"/>
      </bottom>
      <diagonal/>
    </border>
    <border>
      <left style="medium">
        <color rgb="FF92CDDC"/>
      </left>
      <right style="medium">
        <color rgb="FF92CDDC"/>
      </right>
      <top/>
      <bottom style="medium">
        <color rgb="FF92CDDC"/>
      </bottom>
      <diagonal/>
    </border>
    <border>
      <left/>
      <right style="medium">
        <color rgb="FF92CDDC"/>
      </right>
      <top/>
      <bottom style="medium">
        <color rgb="FF92CDDC"/>
      </bottom>
      <diagonal/>
    </border>
    <border>
      <left/>
      <right/>
      <top/>
      <bottom style="medium">
        <color rgb="FF92CDDC"/>
      </bottom>
      <diagonal/>
    </border>
    <border>
      <left style="medium">
        <color rgb="FF92CDDC"/>
      </left>
      <right/>
      <top style="medium">
        <color rgb="FF92CDDC"/>
      </top>
      <bottom style="medium">
        <color rgb="FF92CDDC"/>
      </bottom>
      <diagonal/>
    </border>
    <border>
      <left/>
      <right/>
      <top style="medium">
        <color rgb="FF92CDDC"/>
      </top>
      <bottom style="medium">
        <color rgb="FF92CDDC"/>
      </bottom>
      <diagonal/>
    </border>
    <border>
      <left/>
      <right style="medium">
        <color rgb="FF92CDDC"/>
      </right>
      <top style="medium">
        <color rgb="FF92CDDC"/>
      </top>
      <bottom style="medium">
        <color rgb="FF92CDDC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2" fillId="2" borderId="1" applyNumberFormat="0" applyFont="0" applyAlignment="0" applyProtection="0"/>
    <xf numFmtId="0" fontId="15" fillId="5" borderId="8" applyNumberFormat="0" applyAlignment="0" applyProtection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 indent="1"/>
    </xf>
    <xf numFmtId="0" fontId="0" fillId="4" borderId="2" xfId="0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2" xfId="0" applyBorder="1" applyAlignment="1">
      <alignment horizontal="center" vertical="center"/>
    </xf>
    <xf numFmtId="12" fontId="0" fillId="0" borderId="2" xfId="0" applyNumberFormat="1" applyBorder="1"/>
    <xf numFmtId="0" fontId="0" fillId="0" borderId="2" xfId="0" applyBorder="1"/>
    <xf numFmtId="0" fontId="0" fillId="0" borderId="0" xfId="0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 indent="1"/>
    </xf>
    <xf numFmtId="0" fontId="11" fillId="4" borderId="2" xfId="0" applyFont="1" applyFill="1" applyBorder="1" applyAlignment="1">
      <alignment horizontal="center" vertical="center" textRotation="90" wrapText="1"/>
    </xf>
    <xf numFmtId="0" fontId="11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indent="1"/>
    </xf>
    <xf numFmtId="0" fontId="0" fillId="3" borderId="3" xfId="0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indent="1"/>
    </xf>
    <xf numFmtId="0" fontId="0" fillId="3" borderId="2" xfId="3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 indent="1"/>
    </xf>
    <xf numFmtId="0" fontId="14" fillId="0" borderId="2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7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3" fillId="4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0" fillId="6" borderId="12" xfId="0" applyFont="1" applyFill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6" borderId="1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vertical="center" wrapText="1"/>
    </xf>
    <xf numFmtId="0" fontId="23" fillId="0" borderId="2" xfId="0" applyFont="1" applyBorder="1" applyAlignment="1">
      <alignment horizontal="left" vertical="center" wrapText="1"/>
    </xf>
    <xf numFmtId="165" fontId="7" fillId="3" borderId="7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center" indent="1"/>
    </xf>
    <xf numFmtId="0" fontId="24" fillId="0" borderId="2" xfId="0" applyFont="1" applyBorder="1" applyAlignment="1">
      <alignment horizontal="left" vertical="center" indent="1"/>
    </xf>
    <xf numFmtId="0" fontId="22" fillId="0" borderId="2" xfId="0" applyFont="1" applyBorder="1" applyAlignment="1">
      <alignment horizontal="center" vertical="center"/>
    </xf>
    <xf numFmtId="0" fontId="24" fillId="7" borderId="2" xfId="0" applyFont="1" applyFill="1" applyBorder="1" applyAlignment="1">
      <alignment horizontal="left" vertical="center" wrapText="1" indent="1"/>
    </xf>
    <xf numFmtId="0" fontId="25" fillId="0" borderId="2" xfId="0" applyFont="1" applyBorder="1" applyAlignment="1">
      <alignment horizontal="left" vertical="center" indent="1"/>
    </xf>
    <xf numFmtId="166" fontId="25" fillId="3" borderId="2" xfId="0" applyNumberFormat="1" applyFont="1" applyFill="1" applyBorder="1" applyAlignment="1">
      <alignment horizontal="left" vertical="center" wrapText="1" indent="1"/>
    </xf>
    <xf numFmtId="0" fontId="25" fillId="0" borderId="2" xfId="0" applyFont="1" applyBorder="1" applyAlignment="1">
      <alignment horizontal="left" vertical="center" wrapText="1" indent="1"/>
    </xf>
    <xf numFmtId="12" fontId="25" fillId="0" borderId="2" xfId="0" applyNumberFormat="1" applyFont="1" applyBorder="1" applyAlignment="1">
      <alignment horizontal="left" vertical="center" indent="1"/>
    </xf>
    <xf numFmtId="0" fontId="2" fillId="0" borderId="0" xfId="1"/>
    <xf numFmtId="0" fontId="28" fillId="7" borderId="2" xfId="0" applyFont="1" applyFill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indent="1"/>
    </xf>
    <xf numFmtId="0" fontId="27" fillId="0" borderId="2" xfId="0" applyFont="1" applyBorder="1" applyAlignment="1">
      <alignment horizontal="left" vertical="center" indent="1"/>
    </xf>
    <xf numFmtId="0" fontId="27" fillId="7" borderId="2" xfId="0" applyFont="1" applyFill="1" applyBorder="1" applyAlignment="1">
      <alignment horizontal="left" vertical="center" indent="1"/>
    </xf>
    <xf numFmtId="165" fontId="7" fillId="3" borderId="6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3" fillId="4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21" fillId="0" borderId="18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1" fillId="5" borderId="8" xfId="4" applyFont="1" applyAlignment="1">
      <alignment horizontal="left" vertical="center" indent="1"/>
    </xf>
    <xf numFmtId="0" fontId="31" fillId="5" borderId="8" xfId="4" applyFont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center" vertical="center"/>
    </xf>
    <xf numFmtId="0" fontId="31" fillId="5" borderId="19" xfId="4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 indent="1"/>
    </xf>
    <xf numFmtId="0" fontId="30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32" fillId="4" borderId="4" xfId="0" applyFont="1" applyFill="1" applyBorder="1" applyAlignment="1">
      <alignment horizontal="center" vertical="center" textRotation="90" wrapText="1"/>
    </xf>
    <xf numFmtId="0" fontId="32" fillId="4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5">
    <cellStyle name="Comma 2" xfId="2" xr:uid="{00000000-0005-0000-0000-000000000000}"/>
    <cellStyle name="Normal" xfId="0" builtinId="0"/>
    <cellStyle name="Normal 2" xfId="1" xr:uid="{00000000-0005-0000-0000-000002000000}"/>
    <cellStyle name="Note 2" xfId="3" xr:uid="{00000000-0005-0000-0000-000004000000}"/>
    <cellStyle name="Output" xfId="4" builtinId="21"/>
  </cellStyles>
  <dxfs count="3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19050</xdr:rowOff>
    </xdr:from>
    <xdr:to>
      <xdr:col>3</xdr:col>
      <xdr:colOff>1847850</xdr:colOff>
      <xdr:row>2</xdr:row>
      <xdr:rowOff>1352550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019550" y="685800"/>
          <a:ext cx="1200150" cy="133350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N191"/>
  <sheetViews>
    <sheetView tabSelected="1" topLeftCell="D156" zoomScale="85" zoomScaleNormal="85" workbookViewId="0">
      <selection activeCell="F168" sqref="F168"/>
    </sheetView>
  </sheetViews>
  <sheetFormatPr defaultRowHeight="14.4"/>
  <cols>
    <col min="1" max="1" width="9.5546875" hidden="1" customWidth="1"/>
    <col min="2" max="2" width="10.33203125" hidden="1" customWidth="1"/>
    <col min="3" max="3" width="8.33203125" hidden="1" customWidth="1"/>
    <col min="4" max="4" width="10.6640625" customWidth="1"/>
    <col min="5" max="5" width="6.5546875" customWidth="1"/>
    <col min="6" max="6" width="33.5546875" customWidth="1"/>
    <col min="7" max="7" width="44.6640625" customWidth="1"/>
    <col min="8" max="8" width="15.88671875" customWidth="1"/>
    <col min="9" max="9" width="17.109375" customWidth="1"/>
    <col min="10" max="10" width="18.109375" customWidth="1"/>
    <col min="11" max="11" width="15.6640625" customWidth="1"/>
    <col min="12" max="12" width="13.44140625" customWidth="1"/>
    <col min="13" max="13" width="10.33203125" customWidth="1"/>
    <col min="14" max="14" width="8.6640625" style="1" customWidth="1"/>
    <col min="15" max="15" width="35.44140625" style="1" customWidth="1"/>
    <col min="16" max="16" width="31.6640625" style="1" customWidth="1"/>
    <col min="17" max="17" width="10" customWidth="1"/>
    <col min="18" max="18" width="13.33203125" customWidth="1"/>
    <col min="19" max="19" width="15.33203125" customWidth="1"/>
    <col min="20" max="20" width="53.44140625" customWidth="1"/>
    <col min="21" max="21" width="30.109375" customWidth="1"/>
    <col min="31" max="31" width="24" customWidth="1"/>
    <col min="32" max="32" width="27" customWidth="1"/>
    <col min="33" max="39" width="16.88671875" customWidth="1"/>
  </cols>
  <sheetData>
    <row r="1" spans="1:40" ht="32.25" customHeight="1">
      <c r="A1" s="93" t="s">
        <v>256</v>
      </c>
      <c r="B1" s="93"/>
      <c r="C1" s="93"/>
      <c r="D1" s="13"/>
      <c r="E1" s="92" t="s">
        <v>256</v>
      </c>
      <c r="F1" s="92"/>
      <c r="H1" t="s">
        <v>250</v>
      </c>
      <c r="N1" s="1" t="s">
        <v>250</v>
      </c>
    </row>
    <row r="2" spans="1:40" s="1" customFormat="1" ht="72" customHeight="1">
      <c r="A2" s="20" t="s">
        <v>255</v>
      </c>
      <c r="B2" s="21" t="s">
        <v>254</v>
      </c>
      <c r="C2" s="20" t="s">
        <v>253</v>
      </c>
      <c r="D2"/>
      <c r="E2" s="90" t="s">
        <v>581</v>
      </c>
      <c r="F2" s="91" t="s">
        <v>398</v>
      </c>
      <c r="G2" s="54" t="s">
        <v>399</v>
      </c>
      <c r="H2" s="2" t="s">
        <v>266</v>
      </c>
      <c r="I2" s="2" t="s">
        <v>267</v>
      </c>
      <c r="J2" s="39" t="s">
        <v>264</v>
      </c>
      <c r="K2" s="3" t="s">
        <v>304</v>
      </c>
      <c r="L2" s="71" t="s">
        <v>100</v>
      </c>
      <c r="M2" s="3" t="s">
        <v>113</v>
      </c>
      <c r="N2" s="3" t="s">
        <v>96</v>
      </c>
      <c r="O2" s="3" t="s">
        <v>110</v>
      </c>
      <c r="P2" s="3" t="s">
        <v>268</v>
      </c>
      <c r="Q2" s="89" t="s">
        <v>97</v>
      </c>
      <c r="R2" s="54" t="s">
        <v>98</v>
      </c>
      <c r="S2" s="2" t="s">
        <v>99</v>
      </c>
      <c r="T2" s="2" t="s">
        <v>136</v>
      </c>
      <c r="U2" s="2" t="s">
        <v>265</v>
      </c>
      <c r="V2" s="2"/>
      <c r="W2" s="2"/>
      <c r="X2" s="2"/>
      <c r="Y2" s="2"/>
      <c r="Z2" s="2"/>
      <c r="AA2" s="2"/>
      <c r="AB2" s="2"/>
      <c r="AC2"/>
      <c r="AD2"/>
      <c r="AE2"/>
      <c r="AF2"/>
      <c r="AG2"/>
      <c r="AH2"/>
      <c r="AI2"/>
      <c r="AJ2"/>
      <c r="AK2"/>
      <c r="AL2"/>
      <c r="AM2"/>
      <c r="AN2"/>
    </row>
    <row r="3" spans="1:40" ht="18.75" customHeight="1">
      <c r="A3" s="23">
        <v>243</v>
      </c>
      <c r="B3" s="24" t="s">
        <v>0</v>
      </c>
      <c r="C3" s="24"/>
      <c r="E3" s="55">
        <v>243</v>
      </c>
      <c r="F3" s="56" t="s">
        <v>305</v>
      </c>
      <c r="G3" s="57" t="s">
        <v>306</v>
      </c>
      <c r="H3" s="53">
        <v>36875</v>
      </c>
      <c r="I3" s="37" t="str">
        <f t="shared" ref="I3:I34" ca="1" si="0">DATEDIF(H3, TODAY(), "Y") &amp; " Y    " &amp; DATEDIF(H3, TODAY(), "YM") &amp; " M"</f>
        <v>25 Y    1 M</v>
      </c>
      <c r="J3" s="11">
        <v>200035003262</v>
      </c>
      <c r="K3" s="69"/>
      <c r="L3" s="72" t="s">
        <v>140</v>
      </c>
      <c r="M3" s="42"/>
      <c r="N3" s="5">
        <v>7</v>
      </c>
      <c r="O3" s="6" t="str">
        <f>VLOOKUP(N3,$A$162:$B$172,2,FALSE)</f>
        <v>ASH-SHAIKH   FAYZEEN</v>
      </c>
      <c r="P3" s="6" t="str">
        <f>VLOOKUP(N3,$A$162:$C$172,3,FALSE)</f>
        <v>0775020033  / 0761792209</v>
      </c>
      <c r="Q3" s="84"/>
      <c r="R3" s="40" t="s">
        <v>573</v>
      </c>
      <c r="S3" s="77" t="s">
        <v>137</v>
      </c>
      <c r="T3" s="12" t="s">
        <v>139</v>
      </c>
      <c r="U3" s="4" t="s">
        <v>534</v>
      </c>
      <c r="V3" s="4"/>
      <c r="W3" s="4"/>
      <c r="X3" s="4"/>
      <c r="Y3" s="4"/>
      <c r="Z3" s="4"/>
      <c r="AA3" s="4"/>
      <c r="AB3" s="4"/>
    </row>
    <row r="4" spans="1:40" ht="18.75" customHeight="1">
      <c r="A4" s="25">
        <v>248</v>
      </c>
      <c r="B4" s="26" t="s">
        <v>1</v>
      </c>
      <c r="C4" s="26"/>
      <c r="E4" s="55">
        <v>248</v>
      </c>
      <c r="F4" s="56" t="s">
        <v>307</v>
      </c>
      <c r="G4" s="57" t="s">
        <v>308</v>
      </c>
      <c r="H4" s="53">
        <v>37316</v>
      </c>
      <c r="I4" s="37" t="str">
        <f t="shared" ca="1" si="0"/>
        <v>23 Y    11 M</v>
      </c>
      <c r="J4" s="11">
        <v>200206103934</v>
      </c>
      <c r="K4" s="69"/>
      <c r="L4" s="72" t="s">
        <v>140</v>
      </c>
      <c r="M4" s="42"/>
      <c r="N4" s="5">
        <v>7</v>
      </c>
      <c r="O4" s="6" t="str">
        <f>VLOOKUP(N4,$A$162:$B$172,2,FALSE)</f>
        <v>ASH-SHAIKH   FAYZEEN</v>
      </c>
      <c r="P4" s="6" t="str">
        <f>VLOOKUP(N4,$A$162:$C$172,3,FALSE)</f>
        <v>0775020033  / 0761792209</v>
      </c>
      <c r="Q4" s="84"/>
      <c r="R4" s="40" t="s">
        <v>573</v>
      </c>
      <c r="S4" s="77" t="s">
        <v>137</v>
      </c>
      <c r="T4" s="12" t="s">
        <v>141</v>
      </c>
      <c r="U4" s="4" t="s">
        <v>535</v>
      </c>
      <c r="V4" s="4"/>
      <c r="W4" s="4"/>
      <c r="X4" s="4"/>
      <c r="Y4" s="4"/>
      <c r="Z4" s="4"/>
      <c r="AA4" s="4"/>
      <c r="AB4" s="4"/>
    </row>
    <row r="5" spans="1:40" ht="18.75" customHeight="1">
      <c r="A5" s="25">
        <v>250</v>
      </c>
      <c r="B5" s="26" t="s">
        <v>2</v>
      </c>
      <c r="C5" s="26"/>
      <c r="E5" s="55">
        <v>250</v>
      </c>
      <c r="F5" s="56" t="s">
        <v>309</v>
      </c>
      <c r="G5" s="57" t="s">
        <v>310</v>
      </c>
      <c r="H5" s="53">
        <v>37702</v>
      </c>
      <c r="I5" s="37" t="str">
        <f t="shared" ca="1" si="0"/>
        <v>22 Y    10 M</v>
      </c>
      <c r="J5" s="11">
        <v>200308200369</v>
      </c>
      <c r="K5" s="69"/>
      <c r="L5" s="72" t="s">
        <v>143</v>
      </c>
      <c r="M5" s="42" t="s">
        <v>114</v>
      </c>
      <c r="N5" s="5">
        <v>7</v>
      </c>
      <c r="O5" s="6" t="str">
        <f>VLOOKUP(N5,$A$162:$B$172,2,FALSE)</f>
        <v>ASH-SHAIKH   FAYZEEN</v>
      </c>
      <c r="P5" s="6" t="str">
        <f>VLOOKUP(N5,$A$162:$C$172,3,FALSE)</f>
        <v>0775020033  / 0761792209</v>
      </c>
      <c r="Q5" s="84"/>
      <c r="R5" s="40" t="s">
        <v>573</v>
      </c>
      <c r="S5" s="77" t="s">
        <v>137</v>
      </c>
      <c r="T5" s="12" t="s">
        <v>142</v>
      </c>
      <c r="U5" s="4" t="s">
        <v>536</v>
      </c>
      <c r="V5" s="4"/>
      <c r="W5" s="4"/>
      <c r="X5" s="4"/>
      <c r="Y5" s="4"/>
      <c r="Z5" s="4"/>
      <c r="AA5" s="4"/>
      <c r="AB5" s="4"/>
    </row>
    <row r="6" spans="1:40" ht="18.75" customHeight="1">
      <c r="A6" s="25">
        <v>325</v>
      </c>
      <c r="B6" s="26" t="s">
        <v>3</v>
      </c>
      <c r="C6" s="26"/>
      <c r="E6" s="55">
        <v>325</v>
      </c>
      <c r="F6" s="56" t="s">
        <v>311</v>
      </c>
      <c r="G6" s="57" t="s">
        <v>312</v>
      </c>
      <c r="H6" s="53">
        <v>37891</v>
      </c>
      <c r="I6" s="37" t="str">
        <f t="shared" ca="1" si="0"/>
        <v>22 Y    4 M</v>
      </c>
      <c r="J6" s="11">
        <v>200327113163</v>
      </c>
      <c r="K6" s="69"/>
      <c r="L6" s="72" t="s">
        <v>140</v>
      </c>
      <c r="M6" s="42"/>
      <c r="N6" s="5">
        <v>7</v>
      </c>
      <c r="O6" s="6" t="str">
        <f>VLOOKUP(N6,$A$162:$B$172,2,FALSE)</f>
        <v>ASH-SHAIKH   FAYZEEN</v>
      </c>
      <c r="P6" s="6" t="str">
        <f>VLOOKUP(N6,$A$162:$C$172,3,FALSE)</f>
        <v>0775020033  / 0761792209</v>
      </c>
      <c r="Q6" s="84"/>
      <c r="R6" s="40" t="s">
        <v>573</v>
      </c>
      <c r="S6" s="77" t="s">
        <v>144</v>
      </c>
      <c r="T6" s="12" t="s">
        <v>145</v>
      </c>
      <c r="U6" s="4" t="s">
        <v>537</v>
      </c>
      <c r="V6" s="4"/>
      <c r="W6" s="4"/>
      <c r="X6" s="4"/>
      <c r="Y6" s="4"/>
      <c r="Z6" s="4"/>
      <c r="AA6" s="4"/>
      <c r="AB6" s="4"/>
    </row>
    <row r="7" spans="1:40" ht="18.75" customHeight="1">
      <c r="A7" s="27">
        <v>331</v>
      </c>
      <c r="B7" s="26" t="s">
        <v>4</v>
      </c>
      <c r="C7" s="26"/>
      <c r="E7" s="55">
        <v>331</v>
      </c>
      <c r="F7" s="56" t="s">
        <v>343</v>
      </c>
      <c r="G7" s="57" t="s">
        <v>344</v>
      </c>
      <c r="H7" s="53">
        <v>38586</v>
      </c>
      <c r="I7" s="37" t="str">
        <f t="shared" ca="1" si="0"/>
        <v>20 Y    5 M</v>
      </c>
      <c r="J7" s="11">
        <v>200522901050</v>
      </c>
      <c r="K7" s="69"/>
      <c r="L7" s="72" t="s">
        <v>140</v>
      </c>
      <c r="M7" s="42"/>
      <c r="N7" s="5">
        <v>4</v>
      </c>
      <c r="O7" s="6" t="str">
        <f>VLOOKUP(N7,$A$162:$B$172,2,FALSE)</f>
        <v>ASH-SHAIKH MUNTHASIR</v>
      </c>
      <c r="P7" s="6" t="str">
        <f>VLOOKUP(N7,$A$162:$C$172,3,FALSE)</f>
        <v>0762663436  / 0755050300</v>
      </c>
      <c r="Q7" s="84"/>
      <c r="R7" s="40" t="s">
        <v>573</v>
      </c>
      <c r="S7" s="77" t="s">
        <v>137</v>
      </c>
      <c r="T7" s="12" t="s">
        <v>146</v>
      </c>
      <c r="U7" s="4">
        <v>0</v>
      </c>
      <c r="V7" s="4"/>
      <c r="W7" s="4"/>
      <c r="X7" s="4"/>
      <c r="Y7" s="4"/>
      <c r="Z7" s="4"/>
      <c r="AA7" s="4"/>
      <c r="AB7" s="4"/>
    </row>
    <row r="8" spans="1:40" ht="18.75" customHeight="1">
      <c r="A8" s="27">
        <v>341</v>
      </c>
      <c r="B8" s="26" t="s">
        <v>5</v>
      </c>
      <c r="C8" s="26"/>
      <c r="E8" s="55">
        <v>341</v>
      </c>
      <c r="F8" s="56" t="s">
        <v>323</v>
      </c>
      <c r="G8" s="57" t="s">
        <v>324</v>
      </c>
      <c r="H8" s="53">
        <v>38528</v>
      </c>
      <c r="I8" s="37" t="str">
        <f t="shared" ca="1" si="0"/>
        <v>20 Y    7 M</v>
      </c>
      <c r="J8" s="11">
        <v>200517704065</v>
      </c>
      <c r="K8" s="69"/>
      <c r="L8" s="72" t="s">
        <v>140</v>
      </c>
      <c r="M8" s="42"/>
      <c r="N8" s="5">
        <v>5</v>
      </c>
      <c r="O8" s="6" t="str">
        <f>VLOOKUP(N8,$A$162:$B$172,2,FALSE)</f>
        <v>ASH-SHAIKH HARSAN</v>
      </c>
      <c r="P8" s="6" t="str">
        <f>VLOOKUP(N8,$A$162:$C$172,3,FALSE)</f>
        <v>0774746493  / 0719150788</v>
      </c>
      <c r="Q8" s="84"/>
      <c r="R8" s="40" t="s">
        <v>573</v>
      </c>
      <c r="S8" s="77" t="s">
        <v>137</v>
      </c>
      <c r="T8" s="12" t="s">
        <v>147</v>
      </c>
      <c r="U8" s="4">
        <v>772696059</v>
      </c>
      <c r="V8" s="4"/>
      <c r="W8" s="4"/>
      <c r="X8" s="4"/>
      <c r="Y8" s="4"/>
      <c r="Z8" s="4"/>
      <c r="AA8" s="4"/>
      <c r="AB8" s="4"/>
    </row>
    <row r="9" spans="1:40" ht="18.75" customHeight="1">
      <c r="A9" s="27">
        <v>342</v>
      </c>
      <c r="B9" s="26" t="s">
        <v>6</v>
      </c>
      <c r="C9" s="26"/>
      <c r="E9" s="55">
        <v>342</v>
      </c>
      <c r="F9" s="56" t="s">
        <v>317</v>
      </c>
      <c r="G9" s="57" t="s">
        <v>318</v>
      </c>
      <c r="H9" s="53">
        <v>38519</v>
      </c>
      <c r="I9" s="37" t="str">
        <f t="shared" ca="1" si="0"/>
        <v>20 Y    7 M</v>
      </c>
      <c r="J9" s="11">
        <v>200516803973</v>
      </c>
      <c r="K9" s="69"/>
      <c r="L9" s="72" t="s">
        <v>140</v>
      </c>
      <c r="M9" s="42"/>
      <c r="N9" s="5">
        <v>6</v>
      </c>
      <c r="O9" s="6" t="str">
        <f>VLOOKUP(N9,$A$162:$B$172,2,FALSE)</f>
        <v>ASH-SHAIKH SHAHEER AHMED</v>
      </c>
      <c r="P9" s="6">
        <f>VLOOKUP(N9,$A$162:$C$172,3,FALSE)</f>
        <v>757296619</v>
      </c>
      <c r="Q9" s="84"/>
      <c r="R9" s="40" t="s">
        <v>573</v>
      </c>
      <c r="S9" s="77" t="s">
        <v>137</v>
      </c>
      <c r="T9" s="12" t="s">
        <v>148</v>
      </c>
      <c r="U9" s="4">
        <v>757510962</v>
      </c>
      <c r="V9" s="4"/>
      <c r="W9" s="4"/>
      <c r="X9" s="4"/>
      <c r="Y9" s="4"/>
      <c r="Z9" s="4"/>
      <c r="AA9" s="4"/>
      <c r="AB9" s="4"/>
    </row>
    <row r="10" spans="1:40" ht="18.75" customHeight="1">
      <c r="A10" s="27">
        <v>345</v>
      </c>
      <c r="B10" s="26" t="s">
        <v>7</v>
      </c>
      <c r="C10" s="26"/>
      <c r="E10" s="55">
        <v>345</v>
      </c>
      <c r="F10" s="56" t="s">
        <v>319</v>
      </c>
      <c r="G10" s="57" t="s">
        <v>320</v>
      </c>
      <c r="H10" s="53">
        <v>38162</v>
      </c>
      <c r="I10" s="37" t="str">
        <f t="shared" ca="1" si="0"/>
        <v>21 Y    7 M</v>
      </c>
      <c r="J10" s="11">
        <v>200417800580</v>
      </c>
      <c r="K10" s="69"/>
      <c r="L10" s="72" t="s">
        <v>140</v>
      </c>
      <c r="M10" s="42"/>
      <c r="N10" s="5">
        <v>6</v>
      </c>
      <c r="O10" s="6" t="str">
        <f>VLOOKUP(N10,$A$162:$B$172,2,FALSE)</f>
        <v>ASH-SHAIKH SHAHEER AHMED</v>
      </c>
      <c r="P10" s="6">
        <f>VLOOKUP(N10,$A$162:$C$172,3,FALSE)</f>
        <v>757296619</v>
      </c>
      <c r="Q10" s="84"/>
      <c r="R10" s="40" t="s">
        <v>573</v>
      </c>
      <c r="S10" s="77" t="s">
        <v>137</v>
      </c>
      <c r="T10" s="12" t="s">
        <v>149</v>
      </c>
      <c r="U10" s="4">
        <v>763433801</v>
      </c>
      <c r="V10" s="4"/>
      <c r="W10" s="4"/>
      <c r="X10" s="4"/>
      <c r="Y10" s="4"/>
      <c r="Z10" s="4"/>
      <c r="AA10" s="4"/>
      <c r="AB10" s="4"/>
    </row>
    <row r="11" spans="1:40" ht="18.75" customHeight="1">
      <c r="A11" s="25">
        <v>354</v>
      </c>
      <c r="B11" s="26" t="s">
        <v>8</v>
      </c>
      <c r="C11" s="26"/>
      <c r="E11" s="55">
        <v>354</v>
      </c>
      <c r="F11" s="56" t="s">
        <v>313</v>
      </c>
      <c r="G11" s="57" t="s">
        <v>314</v>
      </c>
      <c r="H11" s="53">
        <v>37944</v>
      </c>
      <c r="I11" s="37" t="str">
        <f t="shared" ca="1" si="0"/>
        <v>22 Y    2 M</v>
      </c>
      <c r="J11" s="11">
        <v>200332413390</v>
      </c>
      <c r="K11" s="69"/>
      <c r="L11" s="72" t="s">
        <v>140</v>
      </c>
      <c r="M11" s="42"/>
      <c r="N11" s="5">
        <v>7</v>
      </c>
      <c r="O11" s="6" t="str">
        <f>VLOOKUP(N11,$A$162:$B$172,2,FALSE)</f>
        <v>ASH-SHAIKH   FAYZEEN</v>
      </c>
      <c r="P11" s="6" t="str">
        <f>VLOOKUP(N11,$A$162:$C$172,3,FALSE)</f>
        <v>0775020033  / 0761792209</v>
      </c>
      <c r="Q11" s="84"/>
      <c r="R11" s="40" t="s">
        <v>573</v>
      </c>
      <c r="S11" s="77" t="s">
        <v>137</v>
      </c>
      <c r="T11" s="12" t="s">
        <v>150</v>
      </c>
      <c r="U11" s="4" t="s">
        <v>538</v>
      </c>
      <c r="V11" s="4"/>
      <c r="W11" s="4"/>
      <c r="X11" s="4"/>
      <c r="Y11" s="4"/>
      <c r="Z11" s="4"/>
      <c r="AA11" s="4"/>
      <c r="AB11" s="4"/>
    </row>
    <row r="12" spans="1:40" ht="18.75" customHeight="1">
      <c r="A12" s="27">
        <v>356</v>
      </c>
      <c r="B12" s="26" t="s">
        <v>9</v>
      </c>
      <c r="C12" s="26"/>
      <c r="E12" s="55">
        <v>356</v>
      </c>
      <c r="F12" s="56" t="s">
        <v>325</v>
      </c>
      <c r="G12" s="57" t="s">
        <v>326</v>
      </c>
      <c r="H12" s="53">
        <v>37989</v>
      </c>
      <c r="I12" s="37" t="str">
        <f t="shared" ca="1" si="0"/>
        <v>22 Y    1 M</v>
      </c>
      <c r="J12" s="11">
        <v>200500504225</v>
      </c>
      <c r="K12" s="69"/>
      <c r="L12" s="72" t="s">
        <v>140</v>
      </c>
      <c r="M12" s="42"/>
      <c r="N12" s="5">
        <v>5</v>
      </c>
      <c r="O12" s="6" t="str">
        <f>VLOOKUP(N12,$A$162:$B$172,2,FALSE)</f>
        <v>ASH-SHAIKH HARSAN</v>
      </c>
      <c r="P12" s="6" t="str">
        <f>VLOOKUP(N12,$A$162:$C$172,3,FALSE)</f>
        <v>0774746493  / 0719150788</v>
      </c>
      <c r="Q12" s="84"/>
      <c r="R12" s="40" t="s">
        <v>573</v>
      </c>
      <c r="S12" s="77" t="s">
        <v>151</v>
      </c>
      <c r="T12" s="12" t="s">
        <v>152</v>
      </c>
      <c r="U12" s="4">
        <v>755093414</v>
      </c>
      <c r="V12" s="4"/>
      <c r="W12" s="4"/>
      <c r="X12" s="4"/>
      <c r="Y12" s="4"/>
      <c r="Z12" s="4"/>
      <c r="AA12" s="4"/>
      <c r="AB12" s="4"/>
    </row>
    <row r="13" spans="1:40" ht="18.75" customHeight="1">
      <c r="A13" s="25">
        <v>363</v>
      </c>
      <c r="B13" s="26" t="s">
        <v>10</v>
      </c>
      <c r="C13" s="26"/>
      <c r="E13" s="55">
        <v>363</v>
      </c>
      <c r="F13" s="56" t="s">
        <v>327</v>
      </c>
      <c r="G13" s="57" t="s">
        <v>328</v>
      </c>
      <c r="H13" s="53">
        <v>39056</v>
      </c>
      <c r="I13" s="37" t="str">
        <f t="shared" ca="1" si="0"/>
        <v>19 Y    2 M</v>
      </c>
      <c r="J13" s="11">
        <v>200634005227</v>
      </c>
      <c r="K13" s="69"/>
      <c r="L13" s="72" t="s">
        <v>140</v>
      </c>
      <c r="M13" s="42"/>
      <c r="N13" s="5">
        <v>5</v>
      </c>
      <c r="O13" s="6" t="str">
        <f>VLOOKUP(N13,$A$162:$B$172,2,FALSE)</f>
        <v>ASH-SHAIKH HARSAN</v>
      </c>
      <c r="P13" s="6" t="str">
        <f>VLOOKUP(N13,$A$162:$C$172,3,FALSE)</f>
        <v>0774746493  / 0719150788</v>
      </c>
      <c r="Q13" s="84"/>
      <c r="R13" s="40" t="s">
        <v>573</v>
      </c>
      <c r="S13" s="77" t="s">
        <v>137</v>
      </c>
      <c r="T13" s="12" t="s">
        <v>153</v>
      </c>
      <c r="U13" s="4">
        <v>757510962</v>
      </c>
      <c r="V13" s="4"/>
      <c r="W13" s="4"/>
      <c r="X13" s="4"/>
      <c r="Y13" s="4"/>
      <c r="Z13" s="4"/>
      <c r="AA13" s="4"/>
      <c r="AB13" s="4"/>
    </row>
    <row r="14" spans="1:40" ht="18.75" customHeight="1">
      <c r="A14" s="27">
        <v>371</v>
      </c>
      <c r="B14" s="26" t="s">
        <v>11</v>
      </c>
      <c r="C14" s="26"/>
      <c r="E14" s="55">
        <v>371</v>
      </c>
      <c r="F14" s="56" t="s">
        <v>329</v>
      </c>
      <c r="G14" s="57" t="s">
        <v>330</v>
      </c>
      <c r="H14" s="53">
        <v>38485</v>
      </c>
      <c r="I14" s="37" t="str">
        <f t="shared" ca="1" si="0"/>
        <v>20 Y    8 M</v>
      </c>
      <c r="J14" s="11">
        <v>200513404923</v>
      </c>
      <c r="K14" s="69"/>
      <c r="L14" s="72" t="s">
        <v>140</v>
      </c>
      <c r="M14" s="42"/>
      <c r="N14" s="5">
        <v>5</v>
      </c>
      <c r="O14" s="6" t="str">
        <f>VLOOKUP(N14,$A$162:$B$172,2,FALSE)</f>
        <v>ASH-SHAIKH HARSAN</v>
      </c>
      <c r="P14" s="6" t="str">
        <f>VLOOKUP(N14,$A$162:$C$172,3,FALSE)</f>
        <v>0774746493  / 0719150788</v>
      </c>
      <c r="Q14" s="84"/>
      <c r="R14" s="40" t="s">
        <v>573</v>
      </c>
      <c r="S14" s="77" t="s">
        <v>137</v>
      </c>
      <c r="T14" s="12" t="s">
        <v>154</v>
      </c>
      <c r="U14" s="4">
        <v>758978987</v>
      </c>
      <c r="V14" s="4"/>
      <c r="W14" s="4"/>
      <c r="X14" s="4"/>
      <c r="Y14" s="4"/>
      <c r="Z14" s="4"/>
      <c r="AA14" s="4"/>
      <c r="AB14" s="4"/>
    </row>
    <row r="15" spans="1:40" ht="18.75" customHeight="1">
      <c r="A15" s="27">
        <v>381</v>
      </c>
      <c r="B15" s="26" t="s">
        <v>12</v>
      </c>
      <c r="C15" s="26"/>
      <c r="E15" s="55">
        <v>381</v>
      </c>
      <c r="F15" s="56" t="s">
        <v>331</v>
      </c>
      <c r="G15" s="57" t="s">
        <v>332</v>
      </c>
      <c r="H15" s="53">
        <v>38629</v>
      </c>
      <c r="I15" s="37" t="str">
        <f t="shared" ca="1" si="0"/>
        <v>20 Y    4 M</v>
      </c>
      <c r="J15" s="11">
        <v>200527805087</v>
      </c>
      <c r="K15" s="69"/>
      <c r="L15" s="72" t="s">
        <v>140</v>
      </c>
      <c r="M15" s="42"/>
      <c r="N15" s="5">
        <v>5</v>
      </c>
      <c r="O15" s="6" t="str">
        <f>VLOOKUP(N15,$A$162:$B$172,2,FALSE)</f>
        <v>ASH-SHAIKH HARSAN</v>
      </c>
      <c r="P15" s="6" t="str">
        <f>VLOOKUP(N15,$A$162:$C$172,3,FALSE)</f>
        <v>0774746493  / 0719150788</v>
      </c>
      <c r="Q15" s="84"/>
      <c r="R15" s="40" t="s">
        <v>573</v>
      </c>
      <c r="S15" s="77" t="s">
        <v>137</v>
      </c>
      <c r="T15" s="12" t="s">
        <v>155</v>
      </c>
      <c r="U15" s="4">
        <v>775205760</v>
      </c>
      <c r="V15" s="4"/>
      <c r="W15" s="4"/>
      <c r="X15" s="4"/>
      <c r="Y15" s="4"/>
      <c r="Z15" s="4"/>
      <c r="AA15" s="4"/>
      <c r="AB15" s="4"/>
    </row>
    <row r="16" spans="1:40" ht="18.75" customHeight="1">
      <c r="A16" s="27">
        <v>383</v>
      </c>
      <c r="B16" s="26" t="s">
        <v>13</v>
      </c>
      <c r="C16" s="26"/>
      <c r="E16" s="55">
        <v>383</v>
      </c>
      <c r="F16" s="56" t="s">
        <v>321</v>
      </c>
      <c r="G16" s="57" t="s">
        <v>322</v>
      </c>
      <c r="H16" s="53">
        <v>38768</v>
      </c>
      <c r="I16" s="37" t="str">
        <f t="shared" ca="1" si="0"/>
        <v>19 Y    11 M</v>
      </c>
      <c r="J16" s="11">
        <v>200605100127</v>
      </c>
      <c r="K16" s="69"/>
      <c r="L16" s="72" t="s">
        <v>140</v>
      </c>
      <c r="M16" s="42"/>
      <c r="N16" s="5">
        <v>6</v>
      </c>
      <c r="O16" s="6" t="str">
        <f>VLOOKUP(N16,$A$162:$B$172,2,FALSE)</f>
        <v>ASH-SHAIKH SHAHEER AHMED</v>
      </c>
      <c r="P16" s="6">
        <f>VLOOKUP(N16,$A$162:$C$172,3,FALSE)</f>
        <v>757296619</v>
      </c>
      <c r="Q16" s="84"/>
      <c r="R16" s="40" t="s">
        <v>573</v>
      </c>
      <c r="S16" s="77" t="s">
        <v>137</v>
      </c>
      <c r="T16" s="12" t="s">
        <v>156</v>
      </c>
      <c r="U16" s="4">
        <v>770646880</v>
      </c>
      <c r="V16" s="4"/>
      <c r="W16" s="4"/>
      <c r="X16" s="4"/>
      <c r="Y16" s="4"/>
      <c r="Z16" s="4"/>
      <c r="AA16" s="4"/>
      <c r="AB16" s="4"/>
    </row>
    <row r="17" spans="1:28" ht="18.75" customHeight="1">
      <c r="A17" s="27">
        <v>384</v>
      </c>
      <c r="B17" s="22" t="s">
        <v>14</v>
      </c>
      <c r="C17" s="26"/>
      <c r="E17" s="55">
        <v>384</v>
      </c>
      <c r="F17" s="56" t="s">
        <v>333</v>
      </c>
      <c r="G17" s="57" t="s">
        <v>334</v>
      </c>
      <c r="H17" s="53">
        <v>38806</v>
      </c>
      <c r="I17" s="37" t="str">
        <f t="shared" ca="1" si="0"/>
        <v>19 Y    10 M</v>
      </c>
      <c r="J17" s="11">
        <v>200626301569</v>
      </c>
      <c r="K17" s="69"/>
      <c r="L17" s="72" t="s">
        <v>140</v>
      </c>
      <c r="M17" s="42"/>
      <c r="N17" s="5">
        <v>5</v>
      </c>
      <c r="O17" s="6" t="str">
        <f>VLOOKUP(N17,$A$162:$B$172,2,FALSE)</f>
        <v>ASH-SHAIKH HARSAN</v>
      </c>
      <c r="P17" s="6" t="str">
        <f>VLOOKUP(N17,$A$162:$C$172,3,FALSE)</f>
        <v>0774746493  / 0719150788</v>
      </c>
      <c r="Q17" s="84"/>
      <c r="R17" s="40" t="s">
        <v>573</v>
      </c>
      <c r="S17" s="77" t="s">
        <v>157</v>
      </c>
      <c r="T17" s="12" t="s">
        <v>158</v>
      </c>
      <c r="U17" s="4">
        <v>754743743</v>
      </c>
      <c r="V17" s="4"/>
      <c r="W17" s="4"/>
      <c r="X17" s="4"/>
      <c r="Y17" s="4"/>
      <c r="Z17" s="4"/>
      <c r="AA17" s="4"/>
      <c r="AB17" s="4"/>
    </row>
    <row r="18" spans="1:28" ht="18.75" customHeight="1">
      <c r="A18" s="27">
        <v>404</v>
      </c>
      <c r="B18" s="26" t="s">
        <v>15</v>
      </c>
      <c r="C18" s="26"/>
      <c r="E18" s="55">
        <v>404</v>
      </c>
      <c r="F18" s="56" t="s">
        <v>335</v>
      </c>
      <c r="G18" s="57" t="s">
        <v>336</v>
      </c>
      <c r="H18" s="53">
        <v>39070</v>
      </c>
      <c r="I18" s="37" t="str">
        <f t="shared" ca="1" si="0"/>
        <v>19 Y    1 M</v>
      </c>
      <c r="J18" s="11">
        <v>200635404723</v>
      </c>
      <c r="K18" s="69"/>
      <c r="L18" s="72" t="s">
        <v>140</v>
      </c>
      <c r="M18" s="42"/>
      <c r="N18" s="5">
        <v>5</v>
      </c>
      <c r="O18" s="6" t="str">
        <f>VLOOKUP(N18,$A$162:$B$172,2,FALSE)</f>
        <v>ASH-SHAIKH HARSAN</v>
      </c>
      <c r="P18" s="6" t="str">
        <f>VLOOKUP(N18,$A$162:$C$172,3,FALSE)</f>
        <v>0774746493  / 0719150788</v>
      </c>
      <c r="Q18" s="84"/>
      <c r="R18" s="40" t="s">
        <v>573</v>
      </c>
      <c r="S18" s="77" t="s">
        <v>137</v>
      </c>
      <c r="T18" s="12" t="s">
        <v>159</v>
      </c>
      <c r="U18" s="4">
        <v>764001178</v>
      </c>
      <c r="V18" s="4"/>
      <c r="W18" s="4"/>
      <c r="X18" s="4"/>
      <c r="Y18" s="4"/>
      <c r="Z18" s="4"/>
      <c r="AA18" s="4"/>
      <c r="AB18" s="4"/>
    </row>
    <row r="19" spans="1:28" ht="18.75" customHeight="1">
      <c r="A19" s="25">
        <v>408</v>
      </c>
      <c r="B19" s="26" t="s">
        <v>16</v>
      </c>
      <c r="C19" s="26"/>
      <c r="E19" s="55">
        <v>408</v>
      </c>
      <c r="F19" s="56" t="s">
        <v>345</v>
      </c>
      <c r="G19" s="57" t="s">
        <v>346</v>
      </c>
      <c r="H19" s="53">
        <v>39814</v>
      </c>
      <c r="I19" s="37" t="str">
        <f t="shared" ca="1" si="0"/>
        <v>17 Y    1 M</v>
      </c>
      <c r="J19" s="11">
        <v>200900102814</v>
      </c>
      <c r="K19" s="69"/>
      <c r="L19" s="72" t="s">
        <v>140</v>
      </c>
      <c r="M19" s="42"/>
      <c r="N19" s="5">
        <v>4</v>
      </c>
      <c r="O19" s="6" t="str">
        <f>VLOOKUP(N19,$A$162:$B$172,2,FALSE)</f>
        <v>ASH-SHAIKH MUNTHASIR</v>
      </c>
      <c r="P19" s="6" t="str">
        <f>VLOOKUP(N19,$A$162:$C$172,3,FALSE)</f>
        <v>0762663436  / 0755050300</v>
      </c>
      <c r="Q19" s="84"/>
      <c r="R19" s="40" t="s">
        <v>573</v>
      </c>
      <c r="S19" s="77" t="s">
        <v>137</v>
      </c>
      <c r="T19" s="12">
        <v>0</v>
      </c>
      <c r="U19" s="4">
        <v>777434380</v>
      </c>
      <c r="V19" s="4"/>
      <c r="W19" s="4"/>
      <c r="X19" s="4"/>
      <c r="Y19" s="4"/>
      <c r="Z19" s="4"/>
      <c r="AA19" s="4"/>
      <c r="AB19" s="4"/>
    </row>
    <row r="20" spans="1:28" ht="18.75" customHeight="1">
      <c r="A20" s="25">
        <v>410</v>
      </c>
      <c r="B20" s="26" t="s">
        <v>17</v>
      </c>
      <c r="C20" s="26"/>
      <c r="E20" s="55">
        <v>410</v>
      </c>
      <c r="F20" s="56" t="s">
        <v>337</v>
      </c>
      <c r="G20" s="57" t="s">
        <v>338</v>
      </c>
      <c r="H20" s="53">
        <v>37364</v>
      </c>
      <c r="I20" s="37" t="str">
        <f t="shared" ca="1" si="0"/>
        <v>23 Y    9 M</v>
      </c>
      <c r="J20" s="11">
        <v>200210910466</v>
      </c>
      <c r="K20" s="69"/>
      <c r="L20" s="72" t="s">
        <v>140</v>
      </c>
      <c r="M20" s="42"/>
      <c r="N20" s="5">
        <v>5</v>
      </c>
      <c r="O20" s="6" t="str">
        <f>VLOOKUP(N20,$A$162:$B$172,2,FALSE)</f>
        <v>ASH-SHAIKH HARSAN</v>
      </c>
      <c r="P20" s="6" t="str">
        <f>VLOOKUP(N20,$A$162:$C$172,3,FALSE)</f>
        <v>0774746493  / 0719150788</v>
      </c>
      <c r="Q20" s="84"/>
      <c r="R20" s="40" t="s">
        <v>573</v>
      </c>
      <c r="S20" s="77" t="s">
        <v>137</v>
      </c>
      <c r="T20" s="12" t="s">
        <v>160</v>
      </c>
      <c r="U20" s="4" t="s">
        <v>539</v>
      </c>
      <c r="V20" s="4"/>
      <c r="W20" s="4"/>
      <c r="X20" s="4"/>
      <c r="Y20" s="4"/>
      <c r="Z20" s="4"/>
      <c r="AA20" s="4"/>
      <c r="AB20" s="4"/>
    </row>
    <row r="21" spans="1:28" ht="18.75" customHeight="1">
      <c r="A21" s="27">
        <v>413</v>
      </c>
      <c r="B21" s="26" t="s">
        <v>18</v>
      </c>
      <c r="C21" s="26"/>
      <c r="E21" s="55">
        <v>413</v>
      </c>
      <c r="F21" s="56" t="s">
        <v>347</v>
      </c>
      <c r="G21" s="57" t="s">
        <v>348</v>
      </c>
      <c r="H21" s="53">
        <v>38744</v>
      </c>
      <c r="I21" s="37" t="str">
        <f t="shared" ca="1" si="0"/>
        <v>20 Y    0 M</v>
      </c>
      <c r="J21" s="11">
        <v>200602704679</v>
      </c>
      <c r="K21" s="69"/>
      <c r="L21" s="72" t="s">
        <v>140</v>
      </c>
      <c r="M21" s="42"/>
      <c r="N21" s="5">
        <v>4</v>
      </c>
      <c r="O21" s="6" t="str">
        <f>VLOOKUP(N21,$A$162:$B$172,2,FALSE)</f>
        <v>ASH-SHAIKH MUNTHASIR</v>
      </c>
      <c r="P21" s="6" t="str">
        <f>VLOOKUP(N21,$A$162:$C$172,3,FALSE)</f>
        <v>0762663436  / 0755050300</v>
      </c>
      <c r="Q21" s="84"/>
      <c r="R21" s="40" t="s">
        <v>573</v>
      </c>
      <c r="S21" s="77" t="s">
        <v>137</v>
      </c>
      <c r="T21" s="12" t="s">
        <v>161</v>
      </c>
      <c r="U21" s="4">
        <v>775332539</v>
      </c>
      <c r="V21" s="4"/>
      <c r="W21" s="4"/>
      <c r="X21" s="4"/>
      <c r="Y21" s="4"/>
      <c r="Z21" s="4"/>
      <c r="AA21" s="4"/>
      <c r="AB21" s="4"/>
    </row>
    <row r="22" spans="1:28" ht="18.75" customHeight="1">
      <c r="A22" s="27">
        <v>420</v>
      </c>
      <c r="B22" s="26" t="s">
        <v>19</v>
      </c>
      <c r="C22" s="26"/>
      <c r="E22" s="55">
        <v>420</v>
      </c>
      <c r="F22" s="56" t="s">
        <v>361</v>
      </c>
      <c r="G22" s="57" t="s">
        <v>362</v>
      </c>
      <c r="H22" s="53">
        <v>39239</v>
      </c>
      <c r="I22" s="37" t="str">
        <f t="shared" ca="1" si="0"/>
        <v>18 Y    7 M</v>
      </c>
      <c r="J22" s="11">
        <v>200716502128</v>
      </c>
      <c r="K22" s="69"/>
      <c r="L22" s="72" t="s">
        <v>140</v>
      </c>
      <c r="M22" s="42"/>
      <c r="N22" s="5">
        <v>3</v>
      </c>
      <c r="O22" s="6" t="str">
        <f>VLOOKUP(N22,$A$162:$B$172,2,FALSE)</f>
        <v>ASH-SHAIKH IHTHISHAM</v>
      </c>
      <c r="P22" s="6" t="str">
        <f>VLOOKUP(N22,$A$162:$C$172,3,FALSE)</f>
        <v>0770836023  / 0783027491</v>
      </c>
      <c r="Q22" s="84"/>
      <c r="R22" s="40" t="s">
        <v>573</v>
      </c>
      <c r="S22" s="77" t="s">
        <v>137</v>
      </c>
      <c r="T22" s="12" t="s">
        <v>163</v>
      </c>
      <c r="U22" s="4">
        <v>756308746</v>
      </c>
      <c r="V22" s="4"/>
      <c r="W22" s="4"/>
      <c r="X22" s="4"/>
      <c r="Y22" s="4"/>
      <c r="Z22" s="4"/>
      <c r="AA22" s="4"/>
      <c r="AB22" s="4"/>
    </row>
    <row r="23" spans="1:28" ht="18.75" customHeight="1">
      <c r="A23" s="25">
        <v>426</v>
      </c>
      <c r="B23" s="26" t="s">
        <v>20</v>
      </c>
      <c r="C23" s="26"/>
      <c r="E23" s="55">
        <v>426</v>
      </c>
      <c r="F23" s="56" t="s">
        <v>363</v>
      </c>
      <c r="G23" s="57" t="s">
        <v>364</v>
      </c>
      <c r="H23" s="53">
        <v>39491</v>
      </c>
      <c r="I23" s="37" t="str">
        <f t="shared" ca="1" si="0"/>
        <v>17 Y    11 M</v>
      </c>
      <c r="J23" s="11">
        <v>200804400842</v>
      </c>
      <c r="K23" s="69"/>
      <c r="L23" s="72" t="s">
        <v>140</v>
      </c>
      <c r="M23" s="42"/>
      <c r="N23" s="5">
        <v>3</v>
      </c>
      <c r="O23" s="6" t="str">
        <f>VLOOKUP(N23,$A$162:$B$172,2,FALSE)</f>
        <v>ASH-SHAIKH IHTHISHAM</v>
      </c>
      <c r="P23" s="6" t="str">
        <f>VLOOKUP(N23,$A$162:$C$172,3,FALSE)</f>
        <v>0770836023  / 0783027491</v>
      </c>
      <c r="Q23" s="84"/>
      <c r="R23" s="40" t="s">
        <v>573</v>
      </c>
      <c r="S23" s="77" t="s">
        <v>137</v>
      </c>
      <c r="T23" s="12" t="s">
        <v>164</v>
      </c>
      <c r="U23" s="4">
        <v>775513799</v>
      </c>
      <c r="V23" s="4"/>
      <c r="W23" s="4"/>
      <c r="X23" s="4"/>
      <c r="Y23" s="4"/>
      <c r="Z23" s="4"/>
      <c r="AA23" s="4"/>
      <c r="AB23" s="4"/>
    </row>
    <row r="24" spans="1:28" ht="18.75" customHeight="1">
      <c r="A24" s="25">
        <v>429</v>
      </c>
      <c r="B24" s="26" t="s">
        <v>21</v>
      </c>
      <c r="C24" s="26"/>
      <c r="E24" s="55">
        <v>429</v>
      </c>
      <c r="F24" s="56" t="s">
        <v>315</v>
      </c>
      <c r="G24" s="57" t="s">
        <v>316</v>
      </c>
      <c r="H24" s="53">
        <v>38811</v>
      </c>
      <c r="I24" s="37" t="str">
        <f t="shared" ca="1" si="0"/>
        <v>19 Y    10 M</v>
      </c>
      <c r="J24" s="11">
        <v>200509505560</v>
      </c>
      <c r="K24" s="69"/>
      <c r="L24" s="72" t="s">
        <v>143</v>
      </c>
      <c r="M24" s="42" t="s">
        <v>114</v>
      </c>
      <c r="N24" s="5">
        <v>7</v>
      </c>
      <c r="O24" s="6" t="str">
        <f>VLOOKUP(N24,$A$162:$B$172,2,FALSE)</f>
        <v>ASH-SHAIKH   FAYZEEN</v>
      </c>
      <c r="P24" s="6" t="str">
        <f>VLOOKUP(N24,$A$162:$C$172,3,FALSE)</f>
        <v>0775020033  / 0761792209</v>
      </c>
      <c r="Q24" s="84"/>
      <c r="R24" s="40" t="s">
        <v>573</v>
      </c>
      <c r="S24" s="77" t="s">
        <v>137</v>
      </c>
      <c r="T24" s="12" t="s">
        <v>165</v>
      </c>
      <c r="U24" s="4" t="s">
        <v>540</v>
      </c>
      <c r="V24" s="4"/>
      <c r="W24" s="4"/>
      <c r="X24" s="4"/>
      <c r="Y24" s="4"/>
      <c r="Z24" s="4"/>
      <c r="AA24" s="4"/>
      <c r="AB24" s="4"/>
    </row>
    <row r="25" spans="1:28" ht="18.75" customHeight="1">
      <c r="A25" s="25">
        <v>430</v>
      </c>
      <c r="B25" s="26" t="s">
        <v>22</v>
      </c>
      <c r="C25" s="26"/>
      <c r="E25" s="55">
        <v>430</v>
      </c>
      <c r="F25" s="56" t="s">
        <v>365</v>
      </c>
      <c r="G25" s="57" t="s">
        <v>366</v>
      </c>
      <c r="H25" s="53">
        <v>39833</v>
      </c>
      <c r="I25" s="37" t="str">
        <f t="shared" ca="1" si="0"/>
        <v>17 Y    0 M</v>
      </c>
      <c r="J25" s="11"/>
      <c r="K25" s="69"/>
      <c r="L25" s="72" t="s">
        <v>140</v>
      </c>
      <c r="M25" s="42"/>
      <c r="N25" s="5">
        <v>3</v>
      </c>
      <c r="O25" s="6" t="str">
        <f>VLOOKUP(N25,$A$162:$B$172,2,FALSE)</f>
        <v>ASH-SHAIKH IHTHISHAM</v>
      </c>
      <c r="P25" s="6" t="str">
        <f>VLOOKUP(N25,$A$162:$C$172,3,FALSE)</f>
        <v>0770836023  / 0783027491</v>
      </c>
      <c r="Q25" s="84"/>
      <c r="R25" s="40" t="s">
        <v>573</v>
      </c>
      <c r="S25" s="77" t="s">
        <v>137</v>
      </c>
      <c r="T25" s="12" t="s">
        <v>166</v>
      </c>
      <c r="U25" s="4">
        <v>771402747</v>
      </c>
      <c r="V25" s="4"/>
      <c r="W25" s="4"/>
      <c r="X25" s="4"/>
      <c r="Y25" s="4"/>
      <c r="Z25" s="4"/>
      <c r="AA25" s="4"/>
      <c r="AB25" s="4"/>
    </row>
    <row r="26" spans="1:28" ht="18.75" customHeight="1">
      <c r="A26" s="27">
        <v>431</v>
      </c>
      <c r="B26" s="26" t="s">
        <v>23</v>
      </c>
      <c r="C26" s="26"/>
      <c r="E26" s="55">
        <v>431</v>
      </c>
      <c r="F26" s="56" t="s">
        <v>367</v>
      </c>
      <c r="G26" s="57" t="s">
        <v>368</v>
      </c>
      <c r="H26" s="53">
        <v>40119</v>
      </c>
      <c r="I26" s="37" t="str">
        <f t="shared" ca="1" si="0"/>
        <v>16 Y    3 M</v>
      </c>
      <c r="J26" s="11">
        <v>200630701248</v>
      </c>
      <c r="K26" s="69"/>
      <c r="L26" s="72" t="s">
        <v>140</v>
      </c>
      <c r="M26" s="42"/>
      <c r="N26" s="5">
        <v>3</v>
      </c>
      <c r="O26" s="6" t="str">
        <f>VLOOKUP(N26,$A$162:$B$172,2,FALSE)</f>
        <v>ASH-SHAIKH IHTHISHAM</v>
      </c>
      <c r="P26" s="6" t="str">
        <f>VLOOKUP(N26,$A$162:$C$172,3,FALSE)</f>
        <v>0770836023  / 0783027491</v>
      </c>
      <c r="Q26" s="84"/>
      <c r="R26" s="40" t="s">
        <v>573</v>
      </c>
      <c r="S26" s="77" t="s">
        <v>137</v>
      </c>
      <c r="T26" s="12" t="s">
        <v>167</v>
      </c>
      <c r="U26" s="4">
        <v>771638348</v>
      </c>
      <c r="V26" s="4"/>
      <c r="W26" s="4"/>
      <c r="X26" s="4"/>
      <c r="Y26" s="4"/>
      <c r="Z26" s="4"/>
      <c r="AA26" s="4"/>
      <c r="AB26" s="4"/>
    </row>
    <row r="27" spans="1:28" ht="18.75" customHeight="1">
      <c r="A27" s="25">
        <v>433</v>
      </c>
      <c r="B27" s="26" t="s">
        <v>24</v>
      </c>
      <c r="C27" s="26"/>
      <c r="E27" s="55">
        <v>433</v>
      </c>
      <c r="F27" s="56" t="s">
        <v>369</v>
      </c>
      <c r="G27" s="57" t="s">
        <v>370</v>
      </c>
      <c r="H27" s="53">
        <v>39760</v>
      </c>
      <c r="I27" s="37" t="str">
        <f t="shared" ca="1" si="0"/>
        <v>17 Y    2 M</v>
      </c>
      <c r="J27" s="11">
        <v>200831301360</v>
      </c>
      <c r="K27" s="69"/>
      <c r="L27" s="72" t="s">
        <v>140</v>
      </c>
      <c r="M27" s="42"/>
      <c r="N27" s="5">
        <v>3</v>
      </c>
      <c r="O27" s="6" t="str">
        <f>VLOOKUP(N27,$A$162:$B$172,2,FALSE)</f>
        <v>ASH-SHAIKH IHTHISHAM</v>
      </c>
      <c r="P27" s="6" t="str">
        <f>VLOOKUP(N27,$A$162:$C$172,3,FALSE)</f>
        <v>0770836023  / 0783027491</v>
      </c>
      <c r="Q27" s="84"/>
      <c r="R27" s="40" t="s">
        <v>573</v>
      </c>
      <c r="S27" s="77" t="s">
        <v>137</v>
      </c>
      <c r="T27" s="12" t="s">
        <v>168</v>
      </c>
      <c r="U27" s="4">
        <v>774898376</v>
      </c>
      <c r="V27" s="4"/>
      <c r="W27" s="4"/>
      <c r="X27" s="4"/>
      <c r="Y27" s="4"/>
      <c r="Z27" s="4"/>
      <c r="AA27" s="4"/>
      <c r="AB27" s="4"/>
    </row>
    <row r="28" spans="1:28" ht="18.75" customHeight="1">
      <c r="A28" s="25">
        <v>437</v>
      </c>
      <c r="B28" s="26" t="s">
        <v>25</v>
      </c>
      <c r="C28" s="26"/>
      <c r="E28" s="55">
        <v>437</v>
      </c>
      <c r="F28" s="56" t="s">
        <v>371</v>
      </c>
      <c r="G28" s="57" t="s">
        <v>372</v>
      </c>
      <c r="H28" s="53">
        <v>39516</v>
      </c>
      <c r="I28" s="37" t="str">
        <f t="shared" ca="1" si="0"/>
        <v>17 Y    10 M</v>
      </c>
      <c r="J28" s="11"/>
      <c r="K28" s="69"/>
      <c r="L28" s="72" t="s">
        <v>143</v>
      </c>
      <c r="M28" s="42" t="s">
        <v>114</v>
      </c>
      <c r="N28" s="5">
        <v>3</v>
      </c>
      <c r="O28" s="6" t="str">
        <f>VLOOKUP(N28,$A$162:$B$172,2,FALSE)</f>
        <v>ASH-SHAIKH IHTHISHAM</v>
      </c>
      <c r="P28" s="6" t="str">
        <f>VLOOKUP(N28,$A$162:$C$172,3,FALSE)</f>
        <v>0770836023  / 0783027491</v>
      </c>
      <c r="Q28" s="84"/>
      <c r="R28" s="40" t="s">
        <v>573</v>
      </c>
      <c r="S28" s="77" t="s">
        <v>137</v>
      </c>
      <c r="T28" s="12" t="s">
        <v>169</v>
      </c>
      <c r="U28" s="4">
        <v>770781870</v>
      </c>
      <c r="V28" s="4"/>
      <c r="W28" s="4"/>
      <c r="X28" s="4"/>
      <c r="Y28" s="4"/>
      <c r="Z28" s="4"/>
      <c r="AA28" s="4"/>
      <c r="AB28" s="4"/>
    </row>
    <row r="29" spans="1:28" ht="18.75" customHeight="1">
      <c r="A29" s="27">
        <v>441</v>
      </c>
      <c r="B29" s="22" t="s">
        <v>26</v>
      </c>
      <c r="C29" s="26"/>
      <c r="E29" s="55">
        <v>441</v>
      </c>
      <c r="F29" s="56" t="s">
        <v>311</v>
      </c>
      <c r="G29" s="57" t="s">
        <v>373</v>
      </c>
      <c r="H29" s="53">
        <v>39256</v>
      </c>
      <c r="I29" s="37" t="str">
        <f t="shared" ca="1" si="0"/>
        <v>18 Y    7 M</v>
      </c>
      <c r="J29" s="11">
        <v>200717501681</v>
      </c>
      <c r="K29" s="69"/>
      <c r="L29" s="72" t="s">
        <v>140</v>
      </c>
      <c r="M29" s="42"/>
      <c r="N29" s="5">
        <v>3</v>
      </c>
      <c r="O29" s="6" t="str">
        <f>VLOOKUP(N29,$A$162:$B$172,2,FALSE)</f>
        <v>ASH-SHAIKH IHTHISHAM</v>
      </c>
      <c r="P29" s="6" t="str">
        <f>VLOOKUP(N29,$A$162:$C$172,3,FALSE)</f>
        <v>0770836023  / 0783027491</v>
      </c>
      <c r="Q29" s="84"/>
      <c r="R29" s="40" t="s">
        <v>573</v>
      </c>
      <c r="S29" s="77" t="s">
        <v>137</v>
      </c>
      <c r="T29" s="12" t="s">
        <v>170</v>
      </c>
      <c r="U29" s="4">
        <v>772084496</v>
      </c>
      <c r="V29" s="4"/>
      <c r="W29" s="4"/>
      <c r="X29" s="4"/>
      <c r="Y29" s="4"/>
      <c r="Z29" s="4"/>
      <c r="AA29" s="4"/>
      <c r="AB29" s="4"/>
    </row>
    <row r="30" spans="1:28" ht="18.75" customHeight="1">
      <c r="A30" s="27">
        <v>443</v>
      </c>
      <c r="B30" s="26" t="s">
        <v>27</v>
      </c>
      <c r="C30" s="26"/>
      <c r="E30" s="55">
        <v>443</v>
      </c>
      <c r="F30" s="56" t="s">
        <v>374</v>
      </c>
      <c r="G30" s="57" t="s">
        <v>375</v>
      </c>
      <c r="H30" s="53">
        <v>39348</v>
      </c>
      <c r="I30" s="37" t="str">
        <f t="shared" ca="1" si="0"/>
        <v>18 Y    4 M</v>
      </c>
      <c r="J30" s="11">
        <v>200726703935</v>
      </c>
      <c r="K30" s="69"/>
      <c r="L30" s="72" t="s">
        <v>140</v>
      </c>
      <c r="M30" s="42"/>
      <c r="N30" s="5">
        <v>3</v>
      </c>
      <c r="O30" s="6" t="str">
        <f>VLOOKUP(N30,$A$162:$B$172,2,FALSE)</f>
        <v>ASH-SHAIKH IHTHISHAM</v>
      </c>
      <c r="P30" s="6" t="str">
        <f>VLOOKUP(N30,$A$162:$C$172,3,FALSE)</f>
        <v>0770836023  / 0783027491</v>
      </c>
      <c r="Q30" s="84"/>
      <c r="R30" s="40" t="s">
        <v>573</v>
      </c>
      <c r="S30" s="77" t="s">
        <v>137</v>
      </c>
      <c r="T30" s="12" t="s">
        <v>171</v>
      </c>
      <c r="U30" s="4">
        <v>775939246</v>
      </c>
      <c r="V30" s="4"/>
      <c r="W30" s="4"/>
      <c r="X30" s="4"/>
      <c r="Y30" s="4"/>
      <c r="Z30" s="4"/>
      <c r="AA30" s="4"/>
      <c r="AB30" s="4"/>
    </row>
    <row r="31" spans="1:28" ht="18.75" customHeight="1">
      <c r="A31" s="27">
        <v>449</v>
      </c>
      <c r="B31" s="26" t="s">
        <v>28</v>
      </c>
      <c r="C31" s="26"/>
      <c r="E31" s="55">
        <v>449</v>
      </c>
      <c r="F31" s="56" t="s">
        <v>376</v>
      </c>
      <c r="G31" s="57" t="s">
        <v>377</v>
      </c>
      <c r="H31" s="53">
        <v>39472</v>
      </c>
      <c r="I31" s="37" t="str">
        <f t="shared" ca="1" si="0"/>
        <v>18 Y    0 M</v>
      </c>
      <c r="J31" s="11">
        <v>200802504674</v>
      </c>
      <c r="K31" s="69"/>
      <c r="L31" s="72" t="s">
        <v>140</v>
      </c>
      <c r="M31" s="42"/>
      <c r="N31" s="5">
        <v>3</v>
      </c>
      <c r="O31" s="6" t="str">
        <f>VLOOKUP(N31,$A$162:$B$172,2,FALSE)</f>
        <v>ASH-SHAIKH IHTHISHAM</v>
      </c>
      <c r="P31" s="6" t="str">
        <f>VLOOKUP(N31,$A$162:$C$172,3,FALSE)</f>
        <v>0770836023  / 0783027491</v>
      </c>
      <c r="Q31" s="84"/>
      <c r="R31" s="40" t="s">
        <v>573</v>
      </c>
      <c r="S31" s="77" t="s">
        <v>137</v>
      </c>
      <c r="T31" s="12" t="s">
        <v>172</v>
      </c>
      <c r="U31" s="4">
        <v>756089311</v>
      </c>
      <c r="V31" s="4"/>
      <c r="W31" s="4"/>
      <c r="X31" s="4"/>
      <c r="Y31" s="4"/>
      <c r="Z31" s="4"/>
      <c r="AA31" s="4"/>
      <c r="AB31" s="4"/>
    </row>
    <row r="32" spans="1:28" ht="18.75" customHeight="1">
      <c r="A32" s="25">
        <v>451</v>
      </c>
      <c r="B32" s="26" t="s">
        <v>29</v>
      </c>
      <c r="C32" s="26"/>
      <c r="E32" s="55">
        <v>451</v>
      </c>
      <c r="F32" s="56" t="s">
        <v>378</v>
      </c>
      <c r="G32" s="57" t="s">
        <v>379</v>
      </c>
      <c r="H32" s="53">
        <v>39302</v>
      </c>
      <c r="I32" s="37" t="str">
        <f t="shared" ca="1" si="0"/>
        <v>18 Y    5 M</v>
      </c>
      <c r="J32" s="11">
        <v>200722105104</v>
      </c>
      <c r="K32" s="69"/>
      <c r="L32" s="72" t="s">
        <v>140</v>
      </c>
      <c r="M32" s="42"/>
      <c r="N32" s="5">
        <v>3</v>
      </c>
      <c r="O32" s="6" t="str">
        <f>VLOOKUP(N32,$A$162:$B$172,2,FALSE)</f>
        <v>ASH-SHAIKH IHTHISHAM</v>
      </c>
      <c r="P32" s="6" t="str">
        <f>VLOOKUP(N32,$A$162:$C$172,3,FALSE)</f>
        <v>0770836023  / 0783027491</v>
      </c>
      <c r="Q32" s="84"/>
      <c r="R32" s="40" t="s">
        <v>573</v>
      </c>
      <c r="S32" s="77" t="s">
        <v>173</v>
      </c>
      <c r="T32" s="12" t="s">
        <v>174</v>
      </c>
      <c r="U32" s="4">
        <v>779662465</v>
      </c>
      <c r="V32" s="4"/>
      <c r="W32" s="4"/>
      <c r="X32" s="4"/>
      <c r="Y32" s="4"/>
      <c r="Z32" s="4"/>
      <c r="AA32" s="4"/>
      <c r="AB32" s="4"/>
    </row>
    <row r="33" spans="1:31" ht="18.75" customHeight="1">
      <c r="A33" s="27">
        <v>452</v>
      </c>
      <c r="B33" s="26" t="s">
        <v>30</v>
      </c>
      <c r="C33" s="26"/>
      <c r="E33" s="55">
        <v>452</v>
      </c>
      <c r="F33" s="56" t="s">
        <v>380</v>
      </c>
      <c r="G33" s="57" t="s">
        <v>381</v>
      </c>
      <c r="H33" s="53">
        <v>39583</v>
      </c>
      <c r="I33" s="37" t="str">
        <f t="shared" ca="1" si="0"/>
        <v>17 Y    8 M</v>
      </c>
      <c r="J33" s="11">
        <v>200813603833</v>
      </c>
      <c r="K33" s="69"/>
      <c r="L33" s="72" t="s">
        <v>140</v>
      </c>
      <c r="M33" s="42"/>
      <c r="N33" s="5">
        <v>3</v>
      </c>
      <c r="O33" s="6" t="str">
        <f>VLOOKUP(N33,$A$162:$B$172,2,FALSE)</f>
        <v>ASH-SHAIKH IHTHISHAM</v>
      </c>
      <c r="P33" s="6" t="str">
        <f>VLOOKUP(N33,$A$162:$C$172,3,FALSE)</f>
        <v>0770836023  / 0783027491</v>
      </c>
      <c r="Q33" s="84"/>
      <c r="R33" s="40" t="s">
        <v>573</v>
      </c>
      <c r="S33" s="77" t="s">
        <v>137</v>
      </c>
      <c r="T33" s="12" t="s">
        <v>175</v>
      </c>
      <c r="U33" s="4">
        <v>770454761</v>
      </c>
      <c r="V33" s="4"/>
      <c r="W33" s="4"/>
      <c r="X33" s="4"/>
      <c r="Y33" s="4"/>
      <c r="Z33" s="4"/>
      <c r="AA33" s="4"/>
      <c r="AB33" s="4"/>
    </row>
    <row r="34" spans="1:31" ht="18.75" customHeight="1">
      <c r="A34" s="27">
        <v>454</v>
      </c>
      <c r="B34" s="26" t="s">
        <v>31</v>
      </c>
      <c r="C34" s="26"/>
      <c r="E34" s="55">
        <v>454</v>
      </c>
      <c r="F34" s="56" t="s">
        <v>382</v>
      </c>
      <c r="G34" s="57" t="s">
        <v>383</v>
      </c>
      <c r="H34" s="53">
        <v>39496</v>
      </c>
      <c r="I34" s="37" t="str">
        <f t="shared" ca="1" si="0"/>
        <v>17 Y    11 M</v>
      </c>
      <c r="J34" s="11"/>
      <c r="K34" s="69"/>
      <c r="L34" s="72" t="s">
        <v>140</v>
      </c>
      <c r="M34" s="42"/>
      <c r="N34" s="5">
        <v>3</v>
      </c>
      <c r="O34" s="6" t="str">
        <f>VLOOKUP(N34,$A$162:$B$172,2,FALSE)</f>
        <v>ASH-SHAIKH IHTHISHAM</v>
      </c>
      <c r="P34" s="6" t="str">
        <f>VLOOKUP(N34,$A$162:$C$172,3,FALSE)</f>
        <v>0770836023  / 0783027491</v>
      </c>
      <c r="Q34" s="84"/>
      <c r="R34" s="40" t="s">
        <v>573</v>
      </c>
      <c r="S34" s="77" t="s">
        <v>137</v>
      </c>
      <c r="T34" s="12" t="s">
        <v>176</v>
      </c>
      <c r="U34" s="4">
        <v>756395948</v>
      </c>
      <c r="V34" s="4"/>
      <c r="W34" s="4"/>
      <c r="X34" s="4"/>
      <c r="Y34" s="4"/>
      <c r="Z34" s="4"/>
      <c r="AA34" s="4"/>
      <c r="AB34" s="4"/>
    </row>
    <row r="35" spans="1:31" ht="18.75" customHeight="1">
      <c r="A35" s="25">
        <v>455</v>
      </c>
      <c r="B35" s="26" t="s">
        <v>32</v>
      </c>
      <c r="C35" s="26"/>
      <c r="E35" s="55">
        <v>455</v>
      </c>
      <c r="F35" s="56" t="s">
        <v>339</v>
      </c>
      <c r="G35" s="57" t="s">
        <v>340</v>
      </c>
      <c r="H35" s="53">
        <v>38597</v>
      </c>
      <c r="I35" s="37" t="str">
        <f t="shared" ref="I35:I66" ca="1" si="1">DATEDIF(H35, TODAY(), "Y") &amp; " Y    " &amp; DATEDIF(H35, TODAY(), "YM") &amp; " M"</f>
        <v>20 Y    5 M</v>
      </c>
      <c r="J35" s="11">
        <v>200524600862</v>
      </c>
      <c r="K35" s="69"/>
      <c r="L35" s="72" t="s">
        <v>140</v>
      </c>
      <c r="M35" s="42"/>
      <c r="N35" s="5">
        <v>5</v>
      </c>
      <c r="O35" s="6" t="str">
        <f>VLOOKUP(N35,$A$162:$B$172,2,FALSE)</f>
        <v>ASH-SHAIKH HARSAN</v>
      </c>
      <c r="P35" s="6" t="str">
        <f>VLOOKUP(N35,$A$162:$C$172,3,FALSE)</f>
        <v>0774746493  / 0719150788</v>
      </c>
      <c r="Q35" s="84"/>
      <c r="R35" s="40" t="s">
        <v>573</v>
      </c>
      <c r="S35" s="77" t="s">
        <v>137</v>
      </c>
      <c r="T35" s="12" t="s">
        <v>177</v>
      </c>
      <c r="U35" s="4">
        <v>771248524</v>
      </c>
      <c r="V35" s="4"/>
      <c r="W35" s="4"/>
      <c r="X35" s="4"/>
      <c r="Y35" s="4"/>
      <c r="Z35" s="4"/>
      <c r="AA35" s="4"/>
      <c r="AB35" s="4"/>
    </row>
    <row r="36" spans="1:31" ht="21.75" customHeight="1">
      <c r="A36" s="25">
        <v>458</v>
      </c>
      <c r="B36" s="26" t="s">
        <v>33</v>
      </c>
      <c r="C36" s="26"/>
      <c r="E36" s="55">
        <v>458</v>
      </c>
      <c r="F36" s="56" t="s">
        <v>341</v>
      </c>
      <c r="G36" s="57" t="s">
        <v>342</v>
      </c>
      <c r="H36" s="53">
        <v>38616</v>
      </c>
      <c r="I36" s="37" t="str">
        <f t="shared" ca="1" si="1"/>
        <v>20 Y    4 M</v>
      </c>
      <c r="J36" s="11">
        <v>200526504063</v>
      </c>
      <c r="K36" s="69"/>
      <c r="L36" s="72" t="s">
        <v>140</v>
      </c>
      <c r="M36" s="42"/>
      <c r="N36" s="5">
        <v>5</v>
      </c>
      <c r="O36" s="36" t="str">
        <f>VLOOKUP(N36,$A$162:$B$172,2,FALSE)</f>
        <v>ASH-SHAIKH HARSAN</v>
      </c>
      <c r="P36" s="6" t="str">
        <f>VLOOKUP(N36,$A$162:$C$172,3,FALSE)</f>
        <v>0774746493  / 0719150788</v>
      </c>
      <c r="Q36" s="84"/>
      <c r="R36" s="40" t="s">
        <v>573</v>
      </c>
      <c r="S36" s="77" t="s">
        <v>137</v>
      </c>
      <c r="T36" s="12" t="s">
        <v>178</v>
      </c>
      <c r="U36" s="4">
        <v>759904501</v>
      </c>
      <c r="V36" s="4"/>
      <c r="W36" s="4"/>
      <c r="X36" s="4"/>
      <c r="Y36" s="4"/>
      <c r="Z36" s="4"/>
      <c r="AA36" s="4"/>
      <c r="AB36" s="4"/>
    </row>
    <row r="37" spans="1:31" ht="23.25" customHeight="1">
      <c r="A37" s="25">
        <v>459</v>
      </c>
      <c r="B37" s="26" t="s">
        <v>34</v>
      </c>
      <c r="C37" s="26"/>
      <c r="E37" s="55">
        <v>459</v>
      </c>
      <c r="F37" s="65" t="s">
        <v>34</v>
      </c>
      <c r="G37" s="66" t="s">
        <v>180</v>
      </c>
      <c r="H37" s="53">
        <v>40463</v>
      </c>
      <c r="I37" s="37" t="str">
        <f t="shared" ca="1" si="1"/>
        <v>15 Y    3 M</v>
      </c>
      <c r="J37" s="11"/>
      <c r="K37" s="69"/>
      <c r="L37" s="72" t="s">
        <v>140</v>
      </c>
      <c r="M37" s="42"/>
      <c r="N37" s="5">
        <v>1</v>
      </c>
      <c r="O37" s="36" t="str">
        <f>VLOOKUP(N37,$A$162:$B$172,2,FALSE)</f>
        <v>ASH-SHAIKH   FAYZEEN</v>
      </c>
      <c r="P37" s="6" t="str">
        <f>VLOOKUP(N37,$A$162:$C$172,3,FALSE)</f>
        <v>0775020033  / 0761792209</v>
      </c>
      <c r="Q37" s="85"/>
      <c r="R37" s="40" t="s">
        <v>573</v>
      </c>
      <c r="S37" s="77" t="s">
        <v>137</v>
      </c>
      <c r="T37" s="12" t="s">
        <v>181</v>
      </c>
      <c r="U37" s="4">
        <v>778535209</v>
      </c>
      <c r="V37" s="4"/>
      <c r="W37" s="4"/>
      <c r="X37" s="4"/>
      <c r="Y37" s="4"/>
      <c r="Z37" s="4"/>
      <c r="AA37" s="4"/>
      <c r="AB37" s="4"/>
      <c r="AC37" s="19"/>
      <c r="AD37" s="14"/>
      <c r="AE37" s="18" t="s">
        <v>262</v>
      </c>
    </row>
    <row r="38" spans="1:31" ht="18.75" customHeight="1">
      <c r="A38" s="25">
        <v>461</v>
      </c>
      <c r="B38" s="26" t="s">
        <v>35</v>
      </c>
      <c r="C38" s="26"/>
      <c r="E38" s="55">
        <v>461</v>
      </c>
      <c r="F38" s="65" t="s">
        <v>35</v>
      </c>
      <c r="G38" s="66" t="s">
        <v>182</v>
      </c>
      <c r="H38" s="53">
        <v>40938</v>
      </c>
      <c r="I38" s="37" t="str">
        <f t="shared" ca="1" si="1"/>
        <v>14 Y    0 M</v>
      </c>
      <c r="J38" s="11"/>
      <c r="K38" s="69"/>
      <c r="L38" s="72" t="s">
        <v>140</v>
      </c>
      <c r="M38" s="42"/>
      <c r="N38" s="5">
        <v>1</v>
      </c>
      <c r="O38" s="6" t="str">
        <f>VLOOKUP(N38,$A$162:$B$172,2,FALSE)</f>
        <v>ASH-SHAIKH   FAYZEEN</v>
      </c>
      <c r="P38" s="6" t="str">
        <f>VLOOKUP(N38,$A$162:$C$172,3,FALSE)</f>
        <v>0775020033  / 0761792209</v>
      </c>
      <c r="Q38" s="84"/>
      <c r="R38" s="40" t="s">
        <v>573</v>
      </c>
      <c r="S38" s="77" t="s">
        <v>137</v>
      </c>
      <c r="T38" s="12" t="s">
        <v>183</v>
      </c>
      <c r="U38" s="4">
        <v>752109278</v>
      </c>
      <c r="V38" s="4"/>
      <c r="W38" s="4"/>
      <c r="X38" s="4"/>
      <c r="Y38" s="4"/>
      <c r="Z38" s="4"/>
      <c r="AA38" s="4"/>
      <c r="AB38" s="4"/>
    </row>
    <row r="39" spans="1:31" ht="18.75" customHeight="1">
      <c r="A39" s="25">
        <v>462</v>
      </c>
      <c r="B39" s="26" t="s">
        <v>36</v>
      </c>
      <c r="C39" s="26"/>
      <c r="E39" s="55">
        <v>462</v>
      </c>
      <c r="F39" s="65" t="s">
        <v>36</v>
      </c>
      <c r="G39" s="66" t="s">
        <v>184</v>
      </c>
      <c r="H39" s="53">
        <v>40565</v>
      </c>
      <c r="I39" s="37" t="str">
        <f t="shared" ca="1" si="1"/>
        <v>15 Y    0 M</v>
      </c>
      <c r="J39" s="11"/>
      <c r="K39" s="69"/>
      <c r="L39" s="72" t="s">
        <v>140</v>
      </c>
      <c r="M39" s="42"/>
      <c r="N39" s="5">
        <v>2</v>
      </c>
      <c r="O39" s="6" t="str">
        <f>VLOOKUP(N39,$A$162:$B$172,2,FALSE)</f>
        <v>ASH-SHAIKH ILHAM</v>
      </c>
      <c r="P39" s="6" t="str">
        <f>VLOOKUP(N39,$A$162:$C$172,3,FALSE)</f>
        <v xml:space="preserve">0775771676  / 0754618392 </v>
      </c>
      <c r="Q39" s="84"/>
      <c r="R39" s="40" t="s">
        <v>573</v>
      </c>
      <c r="S39" s="77" t="s">
        <v>137</v>
      </c>
      <c r="T39" s="12" t="s">
        <v>185</v>
      </c>
      <c r="U39" s="4">
        <v>770456458</v>
      </c>
      <c r="V39" s="4"/>
      <c r="W39" s="4"/>
      <c r="X39" s="4"/>
      <c r="Y39" s="4"/>
      <c r="Z39" s="4"/>
      <c r="AA39" s="4"/>
      <c r="AB39" s="4"/>
    </row>
    <row r="40" spans="1:31" ht="21.75" customHeight="1">
      <c r="A40" s="25">
        <v>467</v>
      </c>
      <c r="B40" s="26" t="s">
        <v>37</v>
      </c>
      <c r="C40" s="26"/>
      <c r="E40" s="55">
        <v>467</v>
      </c>
      <c r="F40" s="68" t="s">
        <v>529</v>
      </c>
      <c r="G40" s="67" t="s">
        <v>528</v>
      </c>
      <c r="H40" s="53">
        <v>40033</v>
      </c>
      <c r="I40" s="37" t="str">
        <f t="shared" ca="1" si="1"/>
        <v>16 Y    5 M</v>
      </c>
      <c r="J40" s="11">
        <v>200922103493</v>
      </c>
      <c r="K40" s="69"/>
      <c r="L40" s="72" t="s">
        <v>140</v>
      </c>
      <c r="M40" s="42"/>
      <c r="N40" s="5">
        <v>2</v>
      </c>
      <c r="O40" s="6" t="str">
        <f>VLOOKUP(N40,$A$162:$B$172,2,FALSE)</f>
        <v>ASH-SHAIKH ILHAM</v>
      </c>
      <c r="P40" s="6" t="str">
        <f>VLOOKUP(N40,$A$162:$C$172,3,FALSE)</f>
        <v xml:space="preserve">0775771676  / 0754618392 </v>
      </c>
      <c r="Q40" s="84"/>
      <c r="R40" s="40" t="s">
        <v>573</v>
      </c>
      <c r="S40" s="77" t="s">
        <v>157</v>
      </c>
      <c r="T40" s="12" t="s">
        <v>185</v>
      </c>
      <c r="U40" s="4" t="s">
        <v>541</v>
      </c>
      <c r="V40" s="4"/>
      <c r="W40" s="4"/>
      <c r="X40" s="4"/>
      <c r="Y40" s="4"/>
      <c r="Z40" s="4"/>
      <c r="AA40" s="4"/>
      <c r="AB40" s="4"/>
    </row>
    <row r="41" spans="1:31" ht="21.75" customHeight="1">
      <c r="A41" s="25">
        <v>468</v>
      </c>
      <c r="B41" s="26" t="s">
        <v>38</v>
      </c>
      <c r="C41" s="26"/>
      <c r="E41" s="55">
        <v>468</v>
      </c>
      <c r="F41" s="65" t="s">
        <v>38</v>
      </c>
      <c r="G41" s="66" t="s">
        <v>186</v>
      </c>
      <c r="H41" s="53">
        <v>39931</v>
      </c>
      <c r="I41" s="37" t="str">
        <f t="shared" ca="1" si="1"/>
        <v>16 Y    9 M</v>
      </c>
      <c r="J41" s="11"/>
      <c r="K41" s="69"/>
      <c r="L41" s="72" t="s">
        <v>140</v>
      </c>
      <c r="M41" s="42"/>
      <c r="N41" s="5">
        <v>1</v>
      </c>
      <c r="O41" s="6" t="str">
        <f>VLOOKUP(N41,$A$162:$B$172,2,FALSE)</f>
        <v>ASH-SHAIKH   FAYZEEN</v>
      </c>
      <c r="P41" s="6" t="str">
        <f>VLOOKUP(N41,$A$162:$C$172,3,FALSE)</f>
        <v>0775020033  / 0761792209</v>
      </c>
      <c r="Q41" s="84"/>
      <c r="R41" s="40" t="s">
        <v>573</v>
      </c>
      <c r="S41" s="77" t="s">
        <v>137</v>
      </c>
      <c r="T41" s="12" t="s">
        <v>187</v>
      </c>
      <c r="U41" s="4">
        <v>771352534</v>
      </c>
      <c r="V41" s="4"/>
      <c r="W41" s="4"/>
      <c r="X41" s="4"/>
      <c r="Y41" s="4"/>
      <c r="Z41" s="4"/>
      <c r="AA41" s="4"/>
      <c r="AB41" s="4"/>
    </row>
    <row r="42" spans="1:31" ht="18.75" customHeight="1">
      <c r="A42" s="25">
        <v>469</v>
      </c>
      <c r="B42" s="26" t="s">
        <v>39</v>
      </c>
      <c r="C42" s="26"/>
      <c r="E42" s="55">
        <v>469</v>
      </c>
      <c r="F42" s="65" t="s">
        <v>39</v>
      </c>
      <c r="G42" s="66" t="s">
        <v>188</v>
      </c>
      <c r="H42" s="53">
        <v>40101</v>
      </c>
      <c r="I42" s="37" t="str">
        <f t="shared" ca="1" si="1"/>
        <v>16 Y    3 M</v>
      </c>
      <c r="J42" s="11"/>
      <c r="K42" s="69"/>
      <c r="L42" s="72" t="s">
        <v>143</v>
      </c>
      <c r="M42" s="42" t="s">
        <v>114</v>
      </c>
      <c r="N42" s="5">
        <v>1</v>
      </c>
      <c r="O42" s="6" t="str">
        <f>VLOOKUP(N42,$A$162:$B$172,2,FALSE)</f>
        <v>ASH-SHAIKH   FAYZEEN</v>
      </c>
      <c r="P42" s="6" t="str">
        <f>VLOOKUP(N42,$A$162:$C$172,3,FALSE)</f>
        <v>0775020033  / 0761792209</v>
      </c>
      <c r="Q42" s="84"/>
      <c r="R42" s="40" t="s">
        <v>573</v>
      </c>
      <c r="S42" s="77" t="s">
        <v>137</v>
      </c>
      <c r="T42" s="12" t="s">
        <v>187</v>
      </c>
      <c r="U42" s="4">
        <v>771352534</v>
      </c>
      <c r="V42" s="4"/>
      <c r="W42" s="4"/>
      <c r="X42" s="4"/>
      <c r="Y42" s="4"/>
      <c r="Z42" s="4"/>
      <c r="AA42" s="4"/>
      <c r="AB42" s="4"/>
    </row>
    <row r="43" spans="1:31" ht="21.75" customHeight="1">
      <c r="A43" s="25">
        <v>470</v>
      </c>
      <c r="B43" s="26" t="s">
        <v>40</v>
      </c>
      <c r="C43" s="26"/>
      <c r="E43" s="55">
        <v>470</v>
      </c>
      <c r="F43" s="65" t="s">
        <v>40</v>
      </c>
      <c r="G43" s="66" t="s">
        <v>179</v>
      </c>
      <c r="H43" s="53">
        <v>40149</v>
      </c>
      <c r="I43" s="37" t="str">
        <f t="shared" ca="1" si="1"/>
        <v>16 Y    2 M</v>
      </c>
      <c r="J43" s="11"/>
      <c r="K43" s="69"/>
      <c r="L43" s="72" t="s">
        <v>143</v>
      </c>
      <c r="M43" s="42" t="s">
        <v>114</v>
      </c>
      <c r="N43" s="5">
        <v>2</v>
      </c>
      <c r="O43" s="6" t="str">
        <f>VLOOKUP(N43,$A$162:$B$172,2,FALSE)</f>
        <v>ASH-SHAIKH ILHAM</v>
      </c>
      <c r="P43" s="6" t="str">
        <f>VLOOKUP(N43,$A$162:$C$172,3,FALSE)</f>
        <v xml:space="preserve">0775771676  / 0754618392 </v>
      </c>
      <c r="Q43" s="84"/>
      <c r="R43" s="40" t="s">
        <v>573</v>
      </c>
      <c r="S43" s="77" t="s">
        <v>137</v>
      </c>
      <c r="T43" s="12" t="s">
        <v>187</v>
      </c>
      <c r="U43" s="4">
        <v>777983629</v>
      </c>
      <c r="V43" s="4"/>
      <c r="W43" s="4"/>
      <c r="X43" s="4"/>
      <c r="Y43" s="4"/>
      <c r="Z43" s="4"/>
      <c r="AA43" s="4"/>
      <c r="AB43" s="4"/>
    </row>
    <row r="44" spans="1:31" ht="21.75" customHeight="1">
      <c r="A44" s="25">
        <v>471</v>
      </c>
      <c r="B44" s="26" t="s">
        <v>41</v>
      </c>
      <c r="C44" s="26"/>
      <c r="E44" s="55">
        <v>471</v>
      </c>
      <c r="F44" s="68" t="s">
        <v>485</v>
      </c>
      <c r="G44" s="67" t="s">
        <v>486</v>
      </c>
      <c r="H44" s="53">
        <v>40436</v>
      </c>
      <c r="I44" s="37" t="str">
        <f t="shared" ca="1" si="1"/>
        <v>15 Y    4 M</v>
      </c>
      <c r="J44" s="11"/>
      <c r="K44" s="69">
        <v>44573</v>
      </c>
      <c r="L44" s="72" t="s">
        <v>140</v>
      </c>
      <c r="M44" s="42"/>
      <c r="N44" s="5" t="s">
        <v>135</v>
      </c>
      <c r="O44" s="6" t="e">
        <f>VLOOKUP(N44,$A$162:$B$172,2,FALSE)</f>
        <v>#N/A</v>
      </c>
      <c r="P44" s="6" t="e">
        <f>VLOOKUP(N44,$A$162:$C$172,3,FALSE)</f>
        <v>#N/A</v>
      </c>
      <c r="Q44" s="84"/>
      <c r="R44" s="40" t="s">
        <v>162</v>
      </c>
      <c r="S44" s="77" t="s">
        <v>137</v>
      </c>
      <c r="T44" s="12" t="s">
        <v>189</v>
      </c>
      <c r="U44" s="4">
        <v>715888005</v>
      </c>
      <c r="V44" s="4"/>
      <c r="W44" s="4"/>
      <c r="X44" s="4"/>
      <c r="Y44" s="4"/>
      <c r="Z44" s="4"/>
      <c r="AA44" s="4"/>
      <c r="AB44" s="4"/>
    </row>
    <row r="45" spans="1:31" ht="21.75" customHeight="1">
      <c r="A45" s="25">
        <v>472</v>
      </c>
      <c r="B45" s="22" t="s">
        <v>42</v>
      </c>
      <c r="C45" s="26"/>
      <c r="E45" s="55">
        <v>472</v>
      </c>
      <c r="F45" s="65" t="s">
        <v>531</v>
      </c>
      <c r="G45" s="66" t="s">
        <v>530</v>
      </c>
      <c r="H45" s="53">
        <v>40005</v>
      </c>
      <c r="I45" s="37" t="str">
        <f t="shared" ca="1" si="1"/>
        <v>16 Y    6 M</v>
      </c>
      <c r="J45" s="11"/>
      <c r="K45" s="69"/>
      <c r="L45" s="72" t="s">
        <v>140</v>
      </c>
      <c r="M45" s="42"/>
      <c r="N45" s="5">
        <v>1</v>
      </c>
      <c r="O45" s="6" t="str">
        <f>VLOOKUP(N45,$A$162:$B$172,2,FALSE)</f>
        <v>ASH-SHAIKH   FAYZEEN</v>
      </c>
      <c r="P45" s="6" t="str">
        <f>VLOOKUP(N45,$A$162:$C$172,3,FALSE)</f>
        <v>0775020033  / 0761792209</v>
      </c>
      <c r="Q45" s="84"/>
      <c r="R45" s="40" t="s">
        <v>573</v>
      </c>
      <c r="S45" s="77" t="s">
        <v>137</v>
      </c>
      <c r="T45" s="29"/>
      <c r="U45" s="4">
        <v>770430884</v>
      </c>
      <c r="V45" s="4"/>
      <c r="W45" s="4"/>
      <c r="X45" s="4"/>
      <c r="Y45" s="4"/>
      <c r="Z45" s="4"/>
      <c r="AA45" s="4"/>
      <c r="AB45" s="4"/>
    </row>
    <row r="46" spans="1:31" ht="23.25" customHeight="1">
      <c r="A46" s="25">
        <v>475</v>
      </c>
      <c r="B46" s="26" t="s">
        <v>43</v>
      </c>
      <c r="C46" s="26"/>
      <c r="E46" s="55">
        <v>475</v>
      </c>
      <c r="F46" s="65" t="s">
        <v>533</v>
      </c>
      <c r="G46" s="66" t="s">
        <v>532</v>
      </c>
      <c r="H46" s="53">
        <v>40818</v>
      </c>
      <c r="I46" s="37" t="str">
        <f t="shared" ca="1" si="1"/>
        <v>14 Y    4 M</v>
      </c>
      <c r="J46" s="11"/>
      <c r="K46" s="69">
        <v>44619</v>
      </c>
      <c r="L46" s="72" t="s">
        <v>140</v>
      </c>
      <c r="M46" s="42"/>
      <c r="N46" s="5" t="s">
        <v>101</v>
      </c>
      <c r="O46" s="6" t="e">
        <f>VLOOKUP(N46,$A$162:$B$172,2,FALSE)</f>
        <v>#N/A</v>
      </c>
      <c r="P46" s="6" t="e">
        <f>VLOOKUP(N46,$A$162:$C$172,3,FALSE)</f>
        <v>#N/A</v>
      </c>
      <c r="Q46" s="84"/>
      <c r="R46" s="40" t="s">
        <v>162</v>
      </c>
      <c r="S46" s="77"/>
      <c r="T46" s="12"/>
      <c r="U46" s="4"/>
      <c r="V46" s="4"/>
      <c r="W46" s="4"/>
      <c r="X46" s="4"/>
      <c r="Y46" s="4"/>
      <c r="Z46" s="4"/>
      <c r="AA46" s="4"/>
      <c r="AB46" s="4"/>
    </row>
    <row r="47" spans="1:31" ht="21.75" customHeight="1">
      <c r="A47" s="25">
        <v>477</v>
      </c>
      <c r="B47" s="26" t="s">
        <v>44</v>
      </c>
      <c r="C47" s="26"/>
      <c r="E47" s="55">
        <v>477</v>
      </c>
      <c r="F47" s="65" t="s">
        <v>44</v>
      </c>
      <c r="G47" s="66" t="s">
        <v>190</v>
      </c>
      <c r="H47" s="53">
        <v>40483</v>
      </c>
      <c r="I47" s="37" t="str">
        <f t="shared" ca="1" si="1"/>
        <v>15 Y    3 M</v>
      </c>
      <c r="J47" s="11"/>
      <c r="K47" s="69"/>
      <c r="L47" s="72" t="s">
        <v>143</v>
      </c>
      <c r="M47" s="42" t="s">
        <v>115</v>
      </c>
      <c r="N47" s="5">
        <v>1</v>
      </c>
      <c r="O47" s="6" t="str">
        <f>VLOOKUP(N47,$A$162:$B$172,2,FALSE)</f>
        <v>ASH-SHAIKH   FAYZEEN</v>
      </c>
      <c r="P47" s="6" t="str">
        <f>VLOOKUP(N47,$A$162:$C$172,3,FALSE)</f>
        <v>0775020033  / 0761792209</v>
      </c>
      <c r="Q47" s="84"/>
      <c r="R47" s="40" t="s">
        <v>573</v>
      </c>
      <c r="S47" s="77" t="s">
        <v>137</v>
      </c>
      <c r="T47" s="12" t="s">
        <v>191</v>
      </c>
      <c r="U47" s="4">
        <v>772828632</v>
      </c>
      <c r="V47" s="4"/>
      <c r="W47" s="4"/>
      <c r="X47" s="4"/>
      <c r="Y47" s="4"/>
      <c r="Z47" s="4"/>
      <c r="AA47" s="4"/>
      <c r="AB47" s="4"/>
    </row>
    <row r="48" spans="1:31" ht="23.25" customHeight="1">
      <c r="A48" s="25">
        <v>479</v>
      </c>
      <c r="B48" s="26" t="s">
        <v>45</v>
      </c>
      <c r="C48" s="26"/>
      <c r="E48" s="55">
        <v>479</v>
      </c>
      <c r="F48" s="65" t="s">
        <v>45</v>
      </c>
      <c r="G48" s="66" t="s">
        <v>192</v>
      </c>
      <c r="H48" s="53">
        <v>40700</v>
      </c>
      <c r="I48" s="37" t="str">
        <f t="shared" ca="1" si="1"/>
        <v>14 Y    7 M</v>
      </c>
      <c r="J48" s="11"/>
      <c r="K48" s="69"/>
      <c r="L48" s="72" t="s">
        <v>140</v>
      </c>
      <c r="M48" s="42"/>
      <c r="N48" s="5">
        <v>1</v>
      </c>
      <c r="O48" s="6" t="str">
        <f>VLOOKUP(N48,$A$162:$B$172,2,FALSE)</f>
        <v>ASH-SHAIKH   FAYZEEN</v>
      </c>
      <c r="P48" s="6" t="str">
        <f>VLOOKUP(N48,$A$162:$C$172,3,FALSE)</f>
        <v>0775020033  / 0761792209</v>
      </c>
      <c r="Q48" s="84"/>
      <c r="R48" s="40" t="s">
        <v>573</v>
      </c>
      <c r="S48" s="77" t="s">
        <v>137</v>
      </c>
      <c r="T48" s="12" t="s">
        <v>164</v>
      </c>
      <c r="U48" s="4" t="s">
        <v>542</v>
      </c>
      <c r="V48" s="4"/>
      <c r="W48" s="4"/>
      <c r="X48" s="4"/>
      <c r="Y48" s="4"/>
      <c r="Z48" s="4"/>
      <c r="AA48" s="4"/>
      <c r="AB48" s="4"/>
    </row>
    <row r="49" spans="1:28" ht="23.25" customHeight="1">
      <c r="A49" s="25">
        <v>480</v>
      </c>
      <c r="B49" s="26" t="s">
        <v>46</v>
      </c>
      <c r="C49" s="26"/>
      <c r="E49" s="55">
        <v>480</v>
      </c>
      <c r="F49" s="65" t="s">
        <v>46</v>
      </c>
      <c r="G49" s="66" t="s">
        <v>193</v>
      </c>
      <c r="H49" s="53">
        <v>40471</v>
      </c>
      <c r="I49" s="37" t="str">
        <f t="shared" ca="1" si="1"/>
        <v>15 Y    3 M</v>
      </c>
      <c r="J49" s="11"/>
      <c r="K49" s="69">
        <v>44573</v>
      </c>
      <c r="L49" s="72" t="s">
        <v>140</v>
      </c>
      <c r="M49" s="42"/>
      <c r="N49" s="5" t="s">
        <v>102</v>
      </c>
      <c r="O49" s="6" t="e">
        <f>VLOOKUP(N49,$A$162:$B$172,2,FALSE)</f>
        <v>#N/A</v>
      </c>
      <c r="P49" s="6" t="e">
        <f>VLOOKUP(N49,$A$162:$C$172,3,FALSE)</f>
        <v>#N/A</v>
      </c>
      <c r="Q49" s="84"/>
      <c r="R49" s="40" t="s">
        <v>162</v>
      </c>
      <c r="S49" s="77" t="s">
        <v>137</v>
      </c>
      <c r="T49" s="12" t="s">
        <v>194</v>
      </c>
      <c r="U49" s="4" t="s">
        <v>543</v>
      </c>
      <c r="V49" s="4"/>
      <c r="W49" s="4"/>
      <c r="X49" s="4"/>
      <c r="Y49" s="4"/>
      <c r="Z49" s="4"/>
      <c r="AA49" s="4"/>
      <c r="AB49" s="4"/>
    </row>
    <row r="50" spans="1:28" ht="23.25" customHeight="1">
      <c r="A50" s="25">
        <v>481</v>
      </c>
      <c r="B50" s="26" t="s">
        <v>47</v>
      </c>
      <c r="C50" s="26"/>
      <c r="E50" s="55">
        <v>481</v>
      </c>
      <c r="F50" s="65" t="s">
        <v>47</v>
      </c>
      <c r="G50" s="66" t="s">
        <v>195</v>
      </c>
      <c r="H50" s="53">
        <v>40817</v>
      </c>
      <c r="I50" s="37" t="str">
        <f t="shared" ca="1" si="1"/>
        <v>14 Y    4 M</v>
      </c>
      <c r="J50" s="11"/>
      <c r="K50" s="69">
        <v>44710</v>
      </c>
      <c r="L50" s="72" t="s">
        <v>140</v>
      </c>
      <c r="M50" s="42"/>
      <c r="N50" s="5" t="s">
        <v>102</v>
      </c>
      <c r="O50" s="6" t="e">
        <f>VLOOKUP(N50,$A$162:$B$172,2,FALSE)</f>
        <v>#N/A</v>
      </c>
      <c r="P50" s="6" t="e">
        <f>VLOOKUP(N50,$A$162:$C$172,3,FALSE)</f>
        <v>#N/A</v>
      </c>
      <c r="Q50" s="84"/>
      <c r="R50" s="40" t="s">
        <v>162</v>
      </c>
      <c r="S50" s="77" t="s">
        <v>137</v>
      </c>
      <c r="T50" s="12" t="s">
        <v>196</v>
      </c>
      <c r="U50" s="4">
        <v>774303166</v>
      </c>
      <c r="V50" s="4"/>
      <c r="W50" s="4"/>
      <c r="X50" s="4"/>
      <c r="Y50" s="4"/>
      <c r="Z50" s="4"/>
      <c r="AA50" s="4"/>
      <c r="AB50" s="4"/>
    </row>
    <row r="51" spans="1:28" ht="23.25" customHeight="1">
      <c r="A51" s="25">
        <v>482</v>
      </c>
      <c r="B51" s="26" t="s">
        <v>48</v>
      </c>
      <c r="C51" s="26"/>
      <c r="E51" s="55">
        <v>482</v>
      </c>
      <c r="F51" s="65" t="s">
        <v>48</v>
      </c>
      <c r="G51" s="66" t="s">
        <v>193</v>
      </c>
      <c r="H51" s="53">
        <v>41089</v>
      </c>
      <c r="I51" s="37" t="str">
        <f t="shared" ca="1" si="1"/>
        <v>13 Y    7 M</v>
      </c>
      <c r="J51" s="11"/>
      <c r="K51" s="69">
        <v>44710</v>
      </c>
      <c r="L51" s="72" t="s">
        <v>140</v>
      </c>
      <c r="M51" s="42"/>
      <c r="N51" s="5" t="s">
        <v>102</v>
      </c>
      <c r="O51" s="6" t="e">
        <f>VLOOKUP(N51,$A$162:$B$172,2,FALSE)</f>
        <v>#N/A</v>
      </c>
      <c r="P51" s="6" t="e">
        <f>VLOOKUP(N51,$A$162:$C$172,3,FALSE)</f>
        <v>#N/A</v>
      </c>
      <c r="Q51" s="84"/>
      <c r="R51" s="40" t="s">
        <v>162</v>
      </c>
      <c r="S51" s="77" t="s">
        <v>137</v>
      </c>
      <c r="T51" s="12" t="s">
        <v>197</v>
      </c>
      <c r="U51" s="4" t="s">
        <v>544</v>
      </c>
      <c r="V51" s="4"/>
      <c r="W51" s="4"/>
      <c r="X51" s="4"/>
      <c r="Y51" s="4"/>
      <c r="Z51" s="4"/>
      <c r="AA51" s="4"/>
      <c r="AB51" s="4"/>
    </row>
    <row r="52" spans="1:28" ht="21.75" customHeight="1">
      <c r="A52" s="25">
        <v>483</v>
      </c>
      <c r="B52" s="26" t="s">
        <v>49</v>
      </c>
      <c r="C52" s="26"/>
      <c r="E52" s="55">
        <v>483</v>
      </c>
      <c r="F52" s="68" t="s">
        <v>488</v>
      </c>
      <c r="G52" s="67" t="s">
        <v>487</v>
      </c>
      <c r="H52" s="53">
        <v>40210</v>
      </c>
      <c r="I52" s="37" t="str">
        <f t="shared" ca="1" si="1"/>
        <v>16 Y    0 M</v>
      </c>
      <c r="J52" s="11">
        <v>201003200911</v>
      </c>
      <c r="K52" s="69">
        <v>44710</v>
      </c>
      <c r="L52" s="72" t="s">
        <v>140</v>
      </c>
      <c r="M52" s="42"/>
      <c r="N52" s="5" t="s">
        <v>135</v>
      </c>
      <c r="O52" s="6" t="e">
        <f>VLOOKUP(N52,$A$162:$B$172,2,FALSE)</f>
        <v>#N/A</v>
      </c>
      <c r="P52" s="6" t="e">
        <f>VLOOKUP(N52,$A$162:$C$172,3,FALSE)</f>
        <v>#N/A</v>
      </c>
      <c r="Q52" s="84"/>
      <c r="R52" s="40" t="s">
        <v>162</v>
      </c>
      <c r="S52" s="77" t="s">
        <v>137</v>
      </c>
      <c r="T52" s="12" t="s">
        <v>198</v>
      </c>
      <c r="U52" s="4">
        <v>775332539</v>
      </c>
      <c r="V52" s="4"/>
      <c r="W52" s="4"/>
      <c r="X52" s="4"/>
      <c r="Y52" s="4"/>
      <c r="Z52" s="4"/>
      <c r="AA52" s="4"/>
      <c r="AB52" s="4"/>
    </row>
    <row r="53" spans="1:28" ht="21.75" customHeight="1">
      <c r="A53" s="25">
        <v>484</v>
      </c>
      <c r="B53" s="26" t="s">
        <v>50</v>
      </c>
      <c r="C53" s="26"/>
      <c r="E53" s="55">
        <v>484</v>
      </c>
      <c r="F53" s="65" t="s">
        <v>50</v>
      </c>
      <c r="G53" s="66" t="s">
        <v>199</v>
      </c>
      <c r="H53" s="53">
        <v>40389</v>
      </c>
      <c r="I53" s="37" t="str">
        <f t="shared" ca="1" si="1"/>
        <v>15 Y    6 M</v>
      </c>
      <c r="J53" s="11"/>
      <c r="K53" s="69">
        <v>44710</v>
      </c>
      <c r="L53" s="72" t="s">
        <v>140</v>
      </c>
      <c r="M53" s="42"/>
      <c r="N53" s="5" t="s">
        <v>135</v>
      </c>
      <c r="O53" s="6" t="e">
        <f>VLOOKUP(N53,$A$162:$B$172,2,FALSE)</f>
        <v>#N/A</v>
      </c>
      <c r="P53" s="6" t="e">
        <f>VLOOKUP(N53,$A$162:$C$172,3,FALSE)</f>
        <v>#N/A</v>
      </c>
      <c r="Q53" s="84"/>
      <c r="R53" s="40" t="s">
        <v>162</v>
      </c>
      <c r="S53" s="77" t="s">
        <v>137</v>
      </c>
      <c r="T53" s="12" t="s">
        <v>139</v>
      </c>
      <c r="U53" s="4" t="s">
        <v>200</v>
      </c>
      <c r="V53" s="4"/>
      <c r="W53" s="4"/>
      <c r="X53" s="4"/>
      <c r="Y53" s="4"/>
      <c r="Z53" s="4"/>
      <c r="AA53" s="4"/>
      <c r="AB53" s="4"/>
    </row>
    <row r="54" spans="1:28" ht="21.75" customHeight="1">
      <c r="A54" s="25">
        <v>488</v>
      </c>
      <c r="B54" s="28" t="s">
        <v>51</v>
      </c>
      <c r="C54" s="28"/>
      <c r="E54" s="55">
        <v>488</v>
      </c>
      <c r="F54" s="65" t="s">
        <v>51</v>
      </c>
      <c r="G54" s="66" t="s">
        <v>201</v>
      </c>
      <c r="H54" s="53">
        <v>40852</v>
      </c>
      <c r="I54" s="37" t="str">
        <f t="shared" ca="1" si="1"/>
        <v>14 Y    3 M</v>
      </c>
      <c r="J54" s="11"/>
      <c r="K54" s="69" t="s">
        <v>202</v>
      </c>
      <c r="L54" s="72" t="s">
        <v>140</v>
      </c>
      <c r="M54" s="42"/>
      <c r="N54" s="5" t="s">
        <v>135</v>
      </c>
      <c r="O54" s="6" t="e">
        <f>VLOOKUP(N54,$A$162:$B$172,2,FALSE)</f>
        <v>#N/A</v>
      </c>
      <c r="P54" s="6" t="e">
        <f>VLOOKUP(N54,$A$162:$C$172,3,FALSE)</f>
        <v>#N/A</v>
      </c>
      <c r="Q54" s="84"/>
      <c r="R54" s="40" t="s">
        <v>162</v>
      </c>
      <c r="S54" s="77" t="s">
        <v>137</v>
      </c>
      <c r="T54" s="12" t="s">
        <v>203</v>
      </c>
      <c r="U54" s="4">
        <v>766906640</v>
      </c>
      <c r="V54" s="4"/>
      <c r="W54" s="4"/>
      <c r="X54" s="4"/>
      <c r="Y54" s="4"/>
      <c r="Z54" s="4"/>
      <c r="AA54" s="4"/>
      <c r="AB54" s="4"/>
    </row>
    <row r="55" spans="1:28" ht="23.25" customHeight="1">
      <c r="A55" s="25">
        <v>491</v>
      </c>
      <c r="B55" s="26" t="s">
        <v>52</v>
      </c>
      <c r="C55" s="28"/>
      <c r="E55" s="55">
        <v>491</v>
      </c>
      <c r="F55" s="65" t="s">
        <v>52</v>
      </c>
      <c r="G55" s="66" t="s">
        <v>204</v>
      </c>
      <c r="H55" s="53">
        <v>40203</v>
      </c>
      <c r="I55" s="37" t="str">
        <f t="shared" ca="1" si="1"/>
        <v>16 Y    0 M</v>
      </c>
      <c r="J55" s="11">
        <v>201002503238</v>
      </c>
      <c r="K55" s="69" t="s">
        <v>202</v>
      </c>
      <c r="L55" s="72" t="s">
        <v>140</v>
      </c>
      <c r="M55" s="42"/>
      <c r="N55" s="5" t="s">
        <v>101</v>
      </c>
      <c r="O55" s="6" t="e">
        <f>VLOOKUP(N55,$A$162:$B$172,2,FALSE)</f>
        <v>#N/A</v>
      </c>
      <c r="P55" s="6" t="e">
        <f>VLOOKUP(N55,$A$162:$C$172,3,FALSE)</f>
        <v>#N/A</v>
      </c>
      <c r="Q55" s="84"/>
      <c r="R55" s="40" t="s">
        <v>162</v>
      </c>
      <c r="S55" s="77" t="s">
        <v>137</v>
      </c>
      <c r="T55" s="12" t="s">
        <v>205</v>
      </c>
      <c r="U55" s="4">
        <v>750707297</v>
      </c>
      <c r="V55" s="4"/>
      <c r="W55" s="4"/>
      <c r="X55" s="4"/>
      <c r="Y55" s="4"/>
      <c r="Z55" s="4"/>
      <c r="AA55" s="4"/>
      <c r="AB55" s="4"/>
    </row>
    <row r="56" spans="1:28" ht="18.75" customHeight="1">
      <c r="A56" s="25">
        <v>493</v>
      </c>
      <c r="B56" s="28" t="s">
        <v>53</v>
      </c>
      <c r="C56" s="28"/>
      <c r="E56" s="55">
        <v>493</v>
      </c>
      <c r="F56" s="56" t="s">
        <v>349</v>
      </c>
      <c r="G56" s="57" t="s">
        <v>350</v>
      </c>
      <c r="H56" s="53">
        <v>40124</v>
      </c>
      <c r="I56" s="37" t="str">
        <f t="shared" ca="1" si="1"/>
        <v>16 Y    2 M</v>
      </c>
      <c r="J56" s="11">
        <v>200931201258</v>
      </c>
      <c r="K56" s="69" t="s">
        <v>202</v>
      </c>
      <c r="L56" s="72" t="s">
        <v>140</v>
      </c>
      <c r="M56" s="42"/>
      <c r="N56" s="5">
        <v>4</v>
      </c>
      <c r="O56" s="6" t="str">
        <f>VLOOKUP(N56,$A$162:$B$172,2,FALSE)</f>
        <v>ASH-SHAIKH MUNTHASIR</v>
      </c>
      <c r="P56" s="6" t="str">
        <f>VLOOKUP(N56,$A$162:$C$172,3,FALSE)</f>
        <v>0762663436  / 0755050300</v>
      </c>
      <c r="Q56" s="84"/>
      <c r="R56" s="40" t="s">
        <v>573</v>
      </c>
      <c r="S56" s="77" t="s">
        <v>137</v>
      </c>
      <c r="T56" s="12" t="s">
        <v>197</v>
      </c>
      <c r="U56" s="4">
        <v>772929235</v>
      </c>
      <c r="V56" s="4"/>
      <c r="W56" s="4"/>
      <c r="X56" s="4"/>
      <c r="Y56" s="4"/>
      <c r="Z56" s="4"/>
      <c r="AA56" s="4"/>
      <c r="AB56" s="4"/>
    </row>
    <row r="57" spans="1:28" ht="18.75" customHeight="1">
      <c r="A57" s="25">
        <v>494</v>
      </c>
      <c r="B57" s="28" t="s">
        <v>54</v>
      </c>
      <c r="C57" s="28"/>
      <c r="E57" s="55">
        <v>494</v>
      </c>
      <c r="F57" s="56" t="s">
        <v>351</v>
      </c>
      <c r="G57" s="57" t="s">
        <v>352</v>
      </c>
      <c r="H57" s="53">
        <v>39570</v>
      </c>
      <c r="I57" s="37" t="str">
        <f t="shared" ca="1" si="1"/>
        <v>17 Y    9 M</v>
      </c>
      <c r="J57" s="11">
        <v>200812305630</v>
      </c>
      <c r="K57" s="69" t="s">
        <v>202</v>
      </c>
      <c r="L57" s="72" t="s">
        <v>143</v>
      </c>
      <c r="M57" s="42" t="s">
        <v>116</v>
      </c>
      <c r="N57" s="5">
        <v>4</v>
      </c>
      <c r="O57" s="6" t="str">
        <f>VLOOKUP(N57,$A$162:$B$172,2,FALSE)</f>
        <v>ASH-SHAIKH MUNTHASIR</v>
      </c>
      <c r="P57" s="6" t="str">
        <f>VLOOKUP(N57,$A$162:$C$172,3,FALSE)</f>
        <v>0762663436  / 0755050300</v>
      </c>
      <c r="Q57" s="84"/>
      <c r="R57" s="40" t="s">
        <v>573</v>
      </c>
      <c r="S57" s="77" t="s">
        <v>137</v>
      </c>
      <c r="T57" s="12" t="s">
        <v>206</v>
      </c>
      <c r="U57" s="4">
        <v>768005842</v>
      </c>
      <c r="V57" s="4"/>
      <c r="W57" s="4"/>
      <c r="X57" s="4"/>
      <c r="Y57" s="4"/>
      <c r="Z57" s="4"/>
      <c r="AA57" s="4"/>
      <c r="AB57" s="4"/>
    </row>
    <row r="58" spans="1:28" ht="18.75" customHeight="1">
      <c r="A58" s="25">
        <v>500</v>
      </c>
      <c r="B58" s="28" t="s">
        <v>55</v>
      </c>
      <c r="C58" s="28"/>
      <c r="E58" s="55">
        <v>500</v>
      </c>
      <c r="F58" s="56" t="s">
        <v>353</v>
      </c>
      <c r="G58" s="57" t="s">
        <v>354</v>
      </c>
      <c r="H58" s="53">
        <v>39849</v>
      </c>
      <c r="I58" s="37" t="str">
        <f t="shared" ca="1" si="1"/>
        <v>17 Y    0 M</v>
      </c>
      <c r="J58" s="11">
        <v>200903602467</v>
      </c>
      <c r="K58" s="69" t="s">
        <v>202</v>
      </c>
      <c r="L58" s="72" t="s">
        <v>140</v>
      </c>
      <c r="M58" s="42"/>
      <c r="N58" s="5">
        <v>4</v>
      </c>
      <c r="O58" s="6" t="str">
        <f>VLOOKUP(N58,$A$162:$B$172,2,FALSE)</f>
        <v>ASH-SHAIKH MUNTHASIR</v>
      </c>
      <c r="P58" s="6" t="str">
        <f>VLOOKUP(N58,$A$162:$C$172,3,FALSE)</f>
        <v>0762663436  / 0755050300</v>
      </c>
      <c r="Q58" s="84"/>
      <c r="R58" s="40" t="s">
        <v>573</v>
      </c>
      <c r="S58" s="77" t="s">
        <v>137</v>
      </c>
      <c r="T58" s="12" t="s">
        <v>207</v>
      </c>
      <c r="U58" s="4">
        <v>763746327</v>
      </c>
      <c r="V58" s="4"/>
      <c r="W58" s="4"/>
      <c r="X58" s="4"/>
      <c r="Y58" s="4"/>
      <c r="Z58" s="4"/>
      <c r="AA58" s="4"/>
      <c r="AB58" s="4"/>
    </row>
    <row r="59" spans="1:28" ht="23.25" customHeight="1">
      <c r="A59" s="25">
        <v>501</v>
      </c>
      <c r="B59" s="28" t="s">
        <v>56</v>
      </c>
      <c r="C59" s="28"/>
      <c r="E59" s="55">
        <v>501</v>
      </c>
      <c r="F59" s="68" t="s">
        <v>527</v>
      </c>
      <c r="G59" s="67" t="s">
        <v>526</v>
      </c>
      <c r="H59" s="53">
        <v>40954</v>
      </c>
      <c r="I59" s="37" t="str">
        <f t="shared" ca="1" si="1"/>
        <v>13 Y    11 M</v>
      </c>
      <c r="J59" s="11"/>
      <c r="K59" s="69" t="s">
        <v>202</v>
      </c>
      <c r="L59" s="72" t="s">
        <v>140</v>
      </c>
      <c r="M59" s="42"/>
      <c r="N59" s="5" t="s">
        <v>102</v>
      </c>
      <c r="O59" s="6" t="e">
        <f>VLOOKUP(N59,$A$162:$B$172,2,FALSE)</f>
        <v>#N/A</v>
      </c>
      <c r="P59" s="6" t="e">
        <f>VLOOKUP(N59,$A$162:$C$172,3,FALSE)</f>
        <v>#N/A</v>
      </c>
      <c r="Q59" s="84"/>
      <c r="R59" s="40" t="s">
        <v>162</v>
      </c>
      <c r="S59" s="77" t="s">
        <v>137</v>
      </c>
      <c r="T59" s="12" t="s">
        <v>207</v>
      </c>
      <c r="U59" s="4">
        <v>763746327</v>
      </c>
      <c r="V59" s="4"/>
      <c r="W59" s="4"/>
      <c r="X59" s="4"/>
      <c r="Y59" s="4"/>
      <c r="Z59" s="4"/>
      <c r="AA59" s="4"/>
      <c r="AB59" s="4"/>
    </row>
    <row r="60" spans="1:28" ht="23.25" customHeight="1">
      <c r="A60" s="25">
        <v>503</v>
      </c>
      <c r="B60" s="28" t="s">
        <v>57</v>
      </c>
      <c r="C60" s="28"/>
      <c r="E60" s="55">
        <v>503</v>
      </c>
      <c r="F60" s="68" t="s">
        <v>524</v>
      </c>
      <c r="G60" s="67" t="s">
        <v>525</v>
      </c>
      <c r="H60" s="53">
        <v>41020</v>
      </c>
      <c r="I60" s="37" t="str">
        <f t="shared" ca="1" si="1"/>
        <v>13 Y    9 M</v>
      </c>
      <c r="J60" s="11"/>
      <c r="K60" s="69"/>
      <c r="L60" s="72" t="s">
        <v>143</v>
      </c>
      <c r="M60" s="42" t="s">
        <v>116</v>
      </c>
      <c r="N60" s="5">
        <v>1</v>
      </c>
      <c r="O60" s="6" t="str">
        <f>VLOOKUP(N60,$A$162:$B$172,2,FALSE)</f>
        <v>ASH-SHAIKH   FAYZEEN</v>
      </c>
      <c r="P60" s="6" t="str">
        <f>VLOOKUP(N60,$A$162:$C$172,3,FALSE)</f>
        <v>0775020033  / 0761792209</v>
      </c>
      <c r="Q60" s="84"/>
      <c r="R60" s="40" t="s">
        <v>573</v>
      </c>
      <c r="S60" s="77" t="s">
        <v>137</v>
      </c>
      <c r="T60" s="12" t="s">
        <v>208</v>
      </c>
      <c r="U60" s="4">
        <v>752145490</v>
      </c>
      <c r="V60" s="4"/>
      <c r="W60" s="4"/>
      <c r="X60" s="4"/>
      <c r="Y60" s="4"/>
      <c r="Z60" s="4"/>
      <c r="AA60" s="4"/>
      <c r="AB60" s="4"/>
    </row>
    <row r="61" spans="1:28" ht="18.75" customHeight="1">
      <c r="A61" s="25">
        <v>506</v>
      </c>
      <c r="B61" s="28" t="s">
        <v>58</v>
      </c>
      <c r="C61" s="28"/>
      <c r="E61" s="55">
        <v>506</v>
      </c>
      <c r="F61" s="68" t="s">
        <v>355</v>
      </c>
      <c r="G61" s="67" t="s">
        <v>356</v>
      </c>
      <c r="H61" s="53">
        <v>40159</v>
      </c>
      <c r="I61" s="37" t="str">
        <f t="shared" ca="1" si="1"/>
        <v>16 Y    1 M</v>
      </c>
      <c r="J61" s="11">
        <v>200934700970</v>
      </c>
      <c r="K61" s="69" t="s">
        <v>209</v>
      </c>
      <c r="L61" s="72" t="s">
        <v>140</v>
      </c>
      <c r="M61" s="42"/>
      <c r="N61" s="5">
        <v>4</v>
      </c>
      <c r="O61" s="6" t="str">
        <f>VLOOKUP(N61,$A$162:$B$172,2,FALSE)</f>
        <v>ASH-SHAIKH MUNTHASIR</v>
      </c>
      <c r="P61" s="6" t="str">
        <f>VLOOKUP(N61,$A$162:$C$172,3,FALSE)</f>
        <v>0762663436  / 0755050300</v>
      </c>
      <c r="Q61" s="84"/>
      <c r="R61" s="40" t="s">
        <v>573</v>
      </c>
      <c r="S61" s="77" t="s">
        <v>137</v>
      </c>
      <c r="T61" s="12" t="s">
        <v>210</v>
      </c>
      <c r="U61" s="4">
        <v>776156536</v>
      </c>
      <c r="V61" s="4"/>
      <c r="W61" s="4"/>
      <c r="X61" s="4"/>
      <c r="Y61" s="4"/>
      <c r="Z61" s="4"/>
      <c r="AA61" s="4"/>
      <c r="AB61" s="4"/>
    </row>
    <row r="62" spans="1:28" ht="18.75" customHeight="1">
      <c r="A62" s="25">
        <v>507</v>
      </c>
      <c r="B62" s="28" t="s">
        <v>59</v>
      </c>
      <c r="C62" s="28"/>
      <c r="E62" s="55">
        <v>507</v>
      </c>
      <c r="F62" s="68" t="s">
        <v>59</v>
      </c>
      <c r="G62" s="67" t="s">
        <v>211</v>
      </c>
      <c r="H62" s="53">
        <v>39585</v>
      </c>
      <c r="I62" s="37" t="str">
        <f t="shared" ca="1" si="1"/>
        <v>17 Y    8 M</v>
      </c>
      <c r="J62" s="11"/>
      <c r="K62" s="69"/>
      <c r="L62" s="72" t="s">
        <v>140</v>
      </c>
      <c r="M62" s="42"/>
      <c r="N62" s="5">
        <v>2</v>
      </c>
      <c r="O62" s="6" t="str">
        <f>VLOOKUP(N62,$A$162:$B$172,2,FALSE)</f>
        <v>ASH-SHAIKH ILHAM</v>
      </c>
      <c r="P62" s="6" t="str">
        <f>VLOOKUP(N62,$A$162:$C$172,3,FALSE)</f>
        <v xml:space="preserve">0775771676  / 0754618392 </v>
      </c>
      <c r="Q62" s="84"/>
      <c r="R62" s="40" t="s">
        <v>573</v>
      </c>
      <c r="S62" s="77" t="s">
        <v>137</v>
      </c>
      <c r="T62" s="12" t="s">
        <v>212</v>
      </c>
      <c r="U62" s="4">
        <v>773490474</v>
      </c>
      <c r="V62" s="4"/>
      <c r="W62" s="4"/>
      <c r="X62" s="4"/>
      <c r="Y62" s="4"/>
      <c r="Z62" s="4"/>
      <c r="AA62" s="4"/>
      <c r="AB62" s="4"/>
    </row>
    <row r="63" spans="1:28" ht="18.75" customHeight="1">
      <c r="A63" s="28">
        <v>509</v>
      </c>
      <c r="B63" s="28" t="s">
        <v>213</v>
      </c>
      <c r="C63" s="19"/>
      <c r="E63" s="59">
        <v>509</v>
      </c>
      <c r="F63" s="68" t="s">
        <v>523</v>
      </c>
      <c r="G63" s="67" t="s">
        <v>214</v>
      </c>
      <c r="H63" s="53">
        <v>39922</v>
      </c>
      <c r="I63" s="37" t="str">
        <f t="shared" ca="1" si="1"/>
        <v>16 Y    9 M</v>
      </c>
      <c r="J63" s="11"/>
      <c r="K63" s="69"/>
      <c r="L63" s="72" t="s">
        <v>140</v>
      </c>
      <c r="M63" s="70"/>
      <c r="N63" s="5">
        <v>3</v>
      </c>
      <c r="O63" s="6" t="str">
        <f>VLOOKUP(N63,$A$162:$B$172,2,FALSE)</f>
        <v>ASH-SHAIKH IHTHISHAM</v>
      </c>
      <c r="P63" s="6" t="str">
        <f>VLOOKUP(N63,$A$162:$C$172,3,FALSE)</f>
        <v>0770836023  / 0783027491</v>
      </c>
      <c r="Q63" s="86"/>
      <c r="R63" s="40" t="s">
        <v>573</v>
      </c>
      <c r="S63" s="77" t="s">
        <v>137</v>
      </c>
      <c r="T63" s="12" t="s">
        <v>215</v>
      </c>
      <c r="U63" s="4" t="s">
        <v>545</v>
      </c>
      <c r="V63" s="15">
        <v>39922</v>
      </c>
      <c r="W63" s="14"/>
      <c r="X63" s="16">
        <f ca="1">TRUNC(YEARFRAC(V63,TODAY(),1))</f>
        <v>16</v>
      </c>
      <c r="Y63" s="14" t="str">
        <f ca="1">IF(X63&gt;"15","PASS","NO")</f>
        <v>NO</v>
      </c>
      <c r="Z63" s="17"/>
      <c r="AA63" s="14" t="s">
        <v>137</v>
      </c>
      <c r="AB63" s="14" t="s">
        <v>138</v>
      </c>
    </row>
    <row r="64" spans="1:28" ht="18.75" customHeight="1">
      <c r="A64" s="25">
        <v>510</v>
      </c>
      <c r="B64" s="28" t="s">
        <v>60</v>
      </c>
      <c r="C64" s="28"/>
      <c r="E64" s="55">
        <v>510</v>
      </c>
      <c r="F64" s="68" t="s">
        <v>357</v>
      </c>
      <c r="G64" s="67" t="s">
        <v>358</v>
      </c>
      <c r="H64" s="53">
        <v>40025</v>
      </c>
      <c r="I64" s="37" t="str">
        <f t="shared" ca="1" si="1"/>
        <v>16 Y    6 M</v>
      </c>
      <c r="J64" s="11">
        <v>200921301578</v>
      </c>
      <c r="K64" s="69" t="s">
        <v>216</v>
      </c>
      <c r="L64" s="72" t="s">
        <v>140</v>
      </c>
      <c r="M64" s="42"/>
      <c r="N64" s="5">
        <v>4</v>
      </c>
      <c r="O64" s="6" t="str">
        <f>VLOOKUP(N64,$A$162:$B$172,2,FALSE)</f>
        <v>ASH-SHAIKH MUNTHASIR</v>
      </c>
      <c r="P64" s="6" t="str">
        <f>VLOOKUP(N64,$A$162:$C$172,3,FALSE)</f>
        <v>0762663436  / 0755050300</v>
      </c>
      <c r="Q64" s="84"/>
      <c r="R64" s="40" t="s">
        <v>573</v>
      </c>
      <c r="S64" s="77" t="s">
        <v>137</v>
      </c>
      <c r="T64" s="12" t="s">
        <v>217</v>
      </c>
      <c r="U64" s="4">
        <v>773615802</v>
      </c>
      <c r="V64" s="4"/>
      <c r="W64" s="4"/>
      <c r="X64" s="4"/>
      <c r="Y64" s="4"/>
      <c r="Z64" s="4"/>
      <c r="AA64" s="4"/>
      <c r="AB64" s="4"/>
    </row>
    <row r="65" spans="1:28" ht="18.75" customHeight="1">
      <c r="A65" s="25">
        <v>514</v>
      </c>
      <c r="B65" s="28" t="s">
        <v>61</v>
      </c>
      <c r="C65" s="28"/>
      <c r="E65" s="55">
        <v>514</v>
      </c>
      <c r="F65" s="68" t="s">
        <v>359</v>
      </c>
      <c r="G65" s="67" t="s">
        <v>360</v>
      </c>
      <c r="H65" s="53">
        <v>39467</v>
      </c>
      <c r="I65" s="37" t="str">
        <f t="shared" ca="1" si="1"/>
        <v>18 Y    0 M</v>
      </c>
      <c r="J65" s="11">
        <v>200802000876</v>
      </c>
      <c r="K65" s="69" t="s">
        <v>218</v>
      </c>
      <c r="L65" s="72" t="s">
        <v>140</v>
      </c>
      <c r="M65" s="42"/>
      <c r="N65" s="5">
        <v>4</v>
      </c>
      <c r="O65" s="6" t="str">
        <f>VLOOKUP(N65,$A$162:$B$172,2,FALSE)</f>
        <v>ASH-SHAIKH MUNTHASIR</v>
      </c>
      <c r="P65" s="6" t="str">
        <f>VLOOKUP(N65,$A$162:$C$172,3,FALSE)</f>
        <v>0762663436  / 0755050300</v>
      </c>
      <c r="Q65" s="84"/>
      <c r="R65" s="40" t="s">
        <v>573</v>
      </c>
      <c r="S65" s="77" t="s">
        <v>137</v>
      </c>
      <c r="T65" s="12" t="s">
        <v>219</v>
      </c>
      <c r="U65" s="4">
        <v>760653596</v>
      </c>
      <c r="V65" s="4"/>
      <c r="W65" s="4"/>
      <c r="X65" s="4"/>
      <c r="Y65" s="4"/>
      <c r="Z65" s="4"/>
      <c r="AA65" s="4"/>
      <c r="AB65" s="4"/>
    </row>
    <row r="66" spans="1:28" ht="18.75" customHeight="1">
      <c r="A66" s="10">
        <v>515</v>
      </c>
      <c r="B66" s="29" t="s">
        <v>62</v>
      </c>
      <c r="C66" s="29"/>
      <c r="E66" s="58">
        <v>515</v>
      </c>
      <c r="F66" s="68" t="s">
        <v>62</v>
      </c>
      <c r="G66" s="67" t="s">
        <v>489</v>
      </c>
      <c r="H66" s="53">
        <v>41493</v>
      </c>
      <c r="I66" s="37" t="str">
        <f t="shared" ca="1" si="1"/>
        <v>12 Y    5 M</v>
      </c>
      <c r="J66" s="11"/>
      <c r="K66" s="69" t="s">
        <v>220</v>
      </c>
      <c r="L66" s="72" t="s">
        <v>140</v>
      </c>
      <c r="M66" s="42"/>
      <c r="N66" s="5" t="s">
        <v>103</v>
      </c>
      <c r="O66" s="6" t="e">
        <f>VLOOKUP(N66,$A$162:$B$172,2,FALSE)</f>
        <v>#N/A</v>
      </c>
      <c r="P66" s="6" t="e">
        <f>VLOOKUP(N66,$A$162:$C$172,3,FALSE)</f>
        <v>#N/A</v>
      </c>
      <c r="Q66" s="84"/>
      <c r="R66" s="40" t="s">
        <v>162</v>
      </c>
      <c r="S66" s="77" t="s">
        <v>221</v>
      </c>
      <c r="T66" s="12" t="s">
        <v>222</v>
      </c>
      <c r="U66" s="4">
        <v>767694942</v>
      </c>
      <c r="V66" s="4"/>
      <c r="W66" s="4"/>
      <c r="X66" s="4"/>
      <c r="Y66" s="4"/>
      <c r="Z66" s="4"/>
      <c r="AA66" s="4"/>
      <c r="AB66" s="4"/>
    </row>
    <row r="67" spans="1:28" ht="23.25" customHeight="1">
      <c r="A67" s="10">
        <v>516</v>
      </c>
      <c r="B67" s="29" t="s">
        <v>63</v>
      </c>
      <c r="C67" s="29"/>
      <c r="E67" s="58">
        <v>516</v>
      </c>
      <c r="F67" s="56" t="s">
        <v>63</v>
      </c>
      <c r="G67" s="67" t="s">
        <v>490</v>
      </c>
      <c r="H67" s="53">
        <v>40906</v>
      </c>
      <c r="I67" s="37" t="str">
        <f t="shared" ref="I67:I91" ca="1" si="2">DATEDIF(H67, TODAY(), "Y") &amp; " Y    " &amp; DATEDIF(H67, TODAY(), "YM") &amp; " M"</f>
        <v>14 Y    1 M</v>
      </c>
      <c r="J67" s="11"/>
      <c r="K67" s="69" t="s">
        <v>220</v>
      </c>
      <c r="L67" s="72" t="s">
        <v>140</v>
      </c>
      <c r="M67" s="42"/>
      <c r="N67" s="5" t="s">
        <v>104</v>
      </c>
      <c r="O67" s="6" t="e">
        <f>VLOOKUP(N67,$A$162:$B$172,2,FALSE)</f>
        <v>#N/A</v>
      </c>
      <c r="P67" s="6" t="e">
        <f>VLOOKUP(N67,$A$162:$C$172,3,FALSE)</f>
        <v>#N/A</v>
      </c>
      <c r="Q67" s="84"/>
      <c r="R67" s="40" t="s">
        <v>162</v>
      </c>
      <c r="S67" s="77" t="s">
        <v>221</v>
      </c>
      <c r="T67" s="12" t="s">
        <v>223</v>
      </c>
      <c r="U67" s="4" t="s">
        <v>546</v>
      </c>
      <c r="V67" s="4"/>
      <c r="W67" s="4"/>
      <c r="X67" s="4"/>
      <c r="Y67" s="4"/>
      <c r="Z67" s="4"/>
      <c r="AA67" s="4"/>
      <c r="AB67" s="4"/>
    </row>
    <row r="68" spans="1:28" ht="23.25" customHeight="1">
      <c r="A68" s="10">
        <v>518</v>
      </c>
      <c r="B68" s="29" t="s">
        <v>64</v>
      </c>
      <c r="C68" s="29"/>
      <c r="E68" s="58">
        <v>518</v>
      </c>
      <c r="F68" s="56" t="s">
        <v>384</v>
      </c>
      <c r="G68" s="67" t="s">
        <v>385</v>
      </c>
      <c r="H68" s="53">
        <v>40403</v>
      </c>
      <c r="I68" s="37" t="str">
        <f t="shared" ca="1" si="2"/>
        <v>15 Y    5 M</v>
      </c>
      <c r="J68" s="11"/>
      <c r="K68" s="69"/>
      <c r="L68" s="72" t="s">
        <v>140</v>
      </c>
      <c r="M68" s="42"/>
      <c r="N68" s="5">
        <v>3</v>
      </c>
      <c r="O68" s="6" t="str">
        <f>VLOOKUP(N68,$A$162:$B$172,2,FALSE)</f>
        <v>ASH-SHAIKH IHTHISHAM</v>
      </c>
      <c r="P68" s="6" t="str">
        <f>VLOOKUP(N68,$A$162:$C$172,3,FALSE)</f>
        <v>0770836023  / 0783027491</v>
      </c>
      <c r="Q68" s="84"/>
      <c r="R68" s="40" t="s">
        <v>573</v>
      </c>
      <c r="S68" s="77" t="s">
        <v>221</v>
      </c>
      <c r="T68" s="12" t="s">
        <v>224</v>
      </c>
      <c r="U68" s="4">
        <v>764979616</v>
      </c>
      <c r="V68" s="4"/>
      <c r="W68" s="4"/>
      <c r="X68" s="4"/>
      <c r="Y68" s="4"/>
      <c r="Z68" s="4"/>
      <c r="AA68" s="4"/>
      <c r="AB68" s="4"/>
    </row>
    <row r="69" spans="1:28" ht="18.75" customHeight="1">
      <c r="A69" s="10">
        <v>519</v>
      </c>
      <c r="B69" s="29" t="s">
        <v>65</v>
      </c>
      <c r="C69" s="29"/>
      <c r="D69" t="s">
        <v>250</v>
      </c>
      <c r="E69" s="58">
        <v>519</v>
      </c>
      <c r="F69" s="56" t="s">
        <v>65</v>
      </c>
      <c r="G69" s="67" t="s">
        <v>491</v>
      </c>
      <c r="H69" s="53">
        <v>41537</v>
      </c>
      <c r="I69" s="37" t="str">
        <f t="shared" ca="1" si="2"/>
        <v>12 Y    4 M</v>
      </c>
      <c r="J69" s="11"/>
      <c r="K69" s="69" t="s">
        <v>220</v>
      </c>
      <c r="L69" s="72" t="s">
        <v>140</v>
      </c>
      <c r="M69" s="42"/>
      <c r="N69" s="5" t="s">
        <v>103</v>
      </c>
      <c r="O69" s="6" t="e">
        <f>VLOOKUP(N69,$A$162:$B$172,2,FALSE)</f>
        <v>#N/A</v>
      </c>
      <c r="P69" s="6" t="e">
        <f>VLOOKUP(N69,$A$162:$C$172,3,FALSE)</f>
        <v>#N/A</v>
      </c>
      <c r="Q69" s="84"/>
      <c r="R69" s="40" t="s">
        <v>162</v>
      </c>
      <c r="S69" s="77" t="s">
        <v>221</v>
      </c>
      <c r="T69" s="12" t="s">
        <v>225</v>
      </c>
      <c r="U69" s="4" t="s">
        <v>548</v>
      </c>
      <c r="V69" s="4"/>
      <c r="W69" s="4"/>
      <c r="X69" s="4"/>
      <c r="Y69" s="4"/>
      <c r="Z69" s="4"/>
      <c r="AA69" s="4"/>
      <c r="AB69" s="4"/>
    </row>
    <row r="70" spans="1:28" ht="23.25" customHeight="1">
      <c r="A70" s="10">
        <v>520</v>
      </c>
      <c r="B70" s="29" t="s">
        <v>66</v>
      </c>
      <c r="C70" s="29"/>
      <c r="E70" s="58">
        <v>520</v>
      </c>
      <c r="F70" s="56" t="s">
        <v>66</v>
      </c>
      <c r="G70" s="67" t="s">
        <v>492</v>
      </c>
      <c r="H70" s="53">
        <v>40732</v>
      </c>
      <c r="I70" s="37" t="str">
        <f t="shared" ca="1" si="2"/>
        <v>14 Y    6 M</v>
      </c>
      <c r="J70" s="11"/>
      <c r="K70" s="69" t="s">
        <v>220</v>
      </c>
      <c r="L70" s="72" t="s">
        <v>140</v>
      </c>
      <c r="M70" s="42"/>
      <c r="N70" s="5" t="s">
        <v>104</v>
      </c>
      <c r="O70" s="6" t="e">
        <f>VLOOKUP(N70,$A$162:$B$172,2,FALSE)</f>
        <v>#N/A</v>
      </c>
      <c r="P70" s="6" t="e">
        <f>VLOOKUP(N70,$A$162:$C$172,3,FALSE)</f>
        <v>#N/A</v>
      </c>
      <c r="Q70" s="84"/>
      <c r="R70" s="40" t="s">
        <v>162</v>
      </c>
      <c r="S70" s="77" t="s">
        <v>221</v>
      </c>
      <c r="T70" s="12" t="s">
        <v>225</v>
      </c>
      <c r="U70" s="4" t="s">
        <v>549</v>
      </c>
      <c r="V70" s="4"/>
      <c r="W70" s="4"/>
      <c r="X70" s="4"/>
      <c r="Y70" s="4"/>
      <c r="Z70" s="4"/>
      <c r="AA70" s="4"/>
      <c r="AB70" s="4"/>
    </row>
    <row r="71" spans="1:28" ht="23.25" customHeight="1">
      <c r="A71" s="10">
        <v>521</v>
      </c>
      <c r="B71" s="29" t="s">
        <v>67</v>
      </c>
      <c r="C71" s="29"/>
      <c r="E71" s="58">
        <v>521</v>
      </c>
      <c r="F71" s="56" t="s">
        <v>67</v>
      </c>
      <c r="G71" s="67" t="s">
        <v>493</v>
      </c>
      <c r="H71" s="53">
        <v>41456</v>
      </c>
      <c r="I71" s="37" t="str">
        <f t="shared" ca="1" si="2"/>
        <v>12 Y    7 M</v>
      </c>
      <c r="J71" s="11"/>
      <c r="K71" s="69" t="s">
        <v>220</v>
      </c>
      <c r="L71" s="72" t="s">
        <v>140</v>
      </c>
      <c r="M71" s="42"/>
      <c r="N71" s="5" t="s">
        <v>103</v>
      </c>
      <c r="O71" s="6" t="e">
        <f>VLOOKUP(N71,$A$162:$B$172,2,FALSE)</f>
        <v>#N/A</v>
      </c>
      <c r="P71" s="6" t="e">
        <f>VLOOKUP(N71,$A$162:$C$172,3,FALSE)</f>
        <v>#N/A</v>
      </c>
      <c r="Q71" s="84"/>
      <c r="R71" s="40" t="s">
        <v>162</v>
      </c>
      <c r="S71" s="77" t="s">
        <v>221</v>
      </c>
      <c r="T71" s="12" t="s">
        <v>226</v>
      </c>
      <c r="U71" s="4" t="s">
        <v>550</v>
      </c>
      <c r="V71" s="4"/>
      <c r="W71" s="4"/>
      <c r="X71" s="4"/>
      <c r="Y71" s="4"/>
      <c r="Z71" s="4"/>
      <c r="AA71" s="4"/>
      <c r="AB71" s="4"/>
    </row>
    <row r="72" spans="1:28" ht="23.25" customHeight="1">
      <c r="A72" s="10">
        <v>522</v>
      </c>
      <c r="B72" s="29" t="s">
        <v>68</v>
      </c>
      <c r="C72" s="29"/>
      <c r="E72" s="58">
        <v>522</v>
      </c>
      <c r="F72" s="56" t="s">
        <v>68</v>
      </c>
      <c r="G72" s="67" t="s">
        <v>494</v>
      </c>
      <c r="H72" s="53">
        <v>41816</v>
      </c>
      <c r="I72" s="37" t="str">
        <f t="shared" ca="1" si="2"/>
        <v>11 Y    7 M</v>
      </c>
      <c r="J72" s="11"/>
      <c r="K72" s="69" t="s">
        <v>220</v>
      </c>
      <c r="L72" s="72" t="s">
        <v>140</v>
      </c>
      <c r="M72" s="42"/>
      <c r="N72" s="5" t="s">
        <v>104</v>
      </c>
      <c r="O72" s="6" t="e">
        <f>VLOOKUP(N72,$A$162:$B$172,2,FALSE)</f>
        <v>#N/A</v>
      </c>
      <c r="P72" s="6" t="e">
        <f>VLOOKUP(N72,$A$162:$C$172,3,FALSE)</f>
        <v>#N/A</v>
      </c>
      <c r="Q72" s="84"/>
      <c r="R72" s="40" t="s">
        <v>162</v>
      </c>
      <c r="S72" s="77" t="s">
        <v>221</v>
      </c>
      <c r="T72" s="12" t="s">
        <v>227</v>
      </c>
      <c r="U72" s="4" t="s">
        <v>551</v>
      </c>
      <c r="V72" s="4"/>
      <c r="W72" s="4"/>
      <c r="X72" s="4"/>
      <c r="Y72" s="4"/>
      <c r="Z72" s="4"/>
      <c r="AA72" s="4"/>
      <c r="AB72" s="4"/>
    </row>
    <row r="73" spans="1:28" ht="23.25" customHeight="1">
      <c r="A73" s="10">
        <v>523</v>
      </c>
      <c r="B73" s="29" t="s">
        <v>69</v>
      </c>
      <c r="C73" s="29"/>
      <c r="E73" s="58">
        <v>523</v>
      </c>
      <c r="F73" s="56" t="s">
        <v>69</v>
      </c>
      <c r="G73" s="67" t="s">
        <v>495</v>
      </c>
      <c r="H73" s="53">
        <v>41443</v>
      </c>
      <c r="I73" s="37" t="str">
        <f t="shared" ca="1" si="2"/>
        <v>12 Y    7 M</v>
      </c>
      <c r="J73" s="11"/>
      <c r="K73" s="69" t="s">
        <v>220</v>
      </c>
      <c r="L73" s="72" t="s">
        <v>140</v>
      </c>
      <c r="M73" s="42"/>
      <c r="N73" s="5" t="s">
        <v>103</v>
      </c>
      <c r="O73" s="6" t="e">
        <f>VLOOKUP(N73,$A$162:$B$172,2,FALSE)</f>
        <v>#N/A</v>
      </c>
      <c r="P73" s="6" t="e">
        <f>VLOOKUP(N73,$A$162:$C$172,3,FALSE)</f>
        <v>#N/A</v>
      </c>
      <c r="Q73" s="84"/>
      <c r="R73" s="40" t="s">
        <v>162</v>
      </c>
      <c r="S73" s="77" t="s">
        <v>221</v>
      </c>
      <c r="T73" s="12" t="s">
        <v>228</v>
      </c>
      <c r="U73" s="4" t="s">
        <v>552</v>
      </c>
      <c r="V73" s="4"/>
      <c r="W73" s="4"/>
      <c r="X73" s="4"/>
      <c r="Y73" s="4"/>
      <c r="Z73" s="4"/>
      <c r="AA73" s="4"/>
      <c r="AB73" s="4"/>
    </row>
    <row r="74" spans="1:28" ht="23.25" customHeight="1">
      <c r="A74" s="10">
        <v>524</v>
      </c>
      <c r="B74" s="29" t="s">
        <v>70</v>
      </c>
      <c r="C74" s="29"/>
      <c r="E74" s="58">
        <v>524</v>
      </c>
      <c r="F74" s="56" t="s">
        <v>70</v>
      </c>
      <c r="G74" s="67" t="s">
        <v>496</v>
      </c>
      <c r="H74" s="53">
        <v>40273</v>
      </c>
      <c r="I74" s="37" t="str">
        <f t="shared" ca="1" si="2"/>
        <v>15 Y    10 M</v>
      </c>
      <c r="J74" s="11"/>
      <c r="K74" s="69" t="s">
        <v>220</v>
      </c>
      <c r="L74" s="72" t="s">
        <v>140</v>
      </c>
      <c r="M74" s="42"/>
      <c r="N74" s="5" t="s">
        <v>103</v>
      </c>
      <c r="O74" s="6" t="e">
        <f>VLOOKUP(N74,$A$162:$B$172,2,FALSE)</f>
        <v>#N/A</v>
      </c>
      <c r="P74" s="6" t="e">
        <f>VLOOKUP(N74,$A$162:$C$172,3,FALSE)</f>
        <v>#N/A</v>
      </c>
      <c r="Q74" s="84"/>
      <c r="R74" s="40" t="s">
        <v>162</v>
      </c>
      <c r="S74" s="77" t="s">
        <v>221</v>
      </c>
      <c r="T74" s="12" t="s">
        <v>229</v>
      </c>
      <c r="U74" s="4" t="s">
        <v>553</v>
      </c>
      <c r="V74" s="4"/>
      <c r="W74" s="4"/>
      <c r="X74" s="4"/>
      <c r="Y74" s="4"/>
      <c r="Z74" s="4"/>
      <c r="AA74" s="4"/>
      <c r="AB74" s="4"/>
    </row>
    <row r="75" spans="1:28" ht="23.25" customHeight="1">
      <c r="A75" s="10">
        <v>525</v>
      </c>
      <c r="B75" s="29" t="s">
        <v>71</v>
      </c>
      <c r="C75" s="29"/>
      <c r="E75" s="58">
        <v>525</v>
      </c>
      <c r="F75" s="56" t="s">
        <v>386</v>
      </c>
      <c r="G75" s="67" t="s">
        <v>387</v>
      </c>
      <c r="H75" s="53">
        <v>39298</v>
      </c>
      <c r="I75" s="37" t="str">
        <f t="shared" ca="1" si="2"/>
        <v>18 Y    6 M</v>
      </c>
      <c r="J75" s="11">
        <v>200721704963</v>
      </c>
      <c r="K75" s="69"/>
      <c r="L75" s="72" t="s">
        <v>140</v>
      </c>
      <c r="M75" s="42"/>
      <c r="N75" s="5">
        <v>3</v>
      </c>
      <c r="O75" s="6" t="str">
        <f>VLOOKUP(N75,$A$162:$B$172,2,FALSE)</f>
        <v>ASH-SHAIKH IHTHISHAM</v>
      </c>
      <c r="P75" s="6" t="str">
        <f>VLOOKUP(N75,$A$162:$C$172,3,FALSE)</f>
        <v>0770836023  / 0783027491</v>
      </c>
      <c r="Q75" s="84"/>
      <c r="R75" s="40" t="s">
        <v>573</v>
      </c>
      <c r="S75" s="77" t="s">
        <v>221</v>
      </c>
      <c r="T75" s="12" t="s">
        <v>230</v>
      </c>
      <c r="U75" s="4" t="s">
        <v>554</v>
      </c>
      <c r="V75" s="4"/>
      <c r="W75" s="4"/>
      <c r="X75" s="4"/>
      <c r="Y75" s="4"/>
      <c r="Z75" s="4"/>
      <c r="AA75" s="4"/>
      <c r="AB75" s="4"/>
    </row>
    <row r="76" spans="1:28" ht="18.75" customHeight="1">
      <c r="A76" s="10">
        <v>526</v>
      </c>
      <c r="B76" s="29" t="s">
        <v>72</v>
      </c>
      <c r="C76" s="29"/>
      <c r="E76" s="58">
        <v>526</v>
      </c>
      <c r="F76" s="56" t="s">
        <v>343</v>
      </c>
      <c r="G76" s="67" t="s">
        <v>388</v>
      </c>
      <c r="H76" s="53">
        <v>40198</v>
      </c>
      <c r="I76" s="37" t="str">
        <f t="shared" ca="1" si="2"/>
        <v>16 Y    0 M</v>
      </c>
      <c r="J76" s="11">
        <v>201002003621</v>
      </c>
      <c r="K76" s="69"/>
      <c r="L76" s="72" t="s">
        <v>140</v>
      </c>
      <c r="M76" s="42"/>
      <c r="N76" s="5">
        <v>3</v>
      </c>
      <c r="O76" s="6" t="str">
        <f>VLOOKUP(N76,$A$162:$B$172,2,FALSE)</f>
        <v>ASH-SHAIKH IHTHISHAM</v>
      </c>
      <c r="P76" s="6" t="str">
        <f>VLOOKUP(N76,$A$162:$C$172,3,FALSE)</f>
        <v>0770836023  / 0783027491</v>
      </c>
      <c r="Q76" s="84"/>
      <c r="R76" s="40" t="s">
        <v>573</v>
      </c>
      <c r="S76" s="77" t="s">
        <v>221</v>
      </c>
      <c r="T76" s="12" t="s">
        <v>231</v>
      </c>
      <c r="U76" s="4" t="s">
        <v>555</v>
      </c>
      <c r="V76" s="4"/>
      <c r="W76" s="4"/>
      <c r="X76" s="4"/>
      <c r="Y76" s="4"/>
      <c r="Z76" s="4"/>
      <c r="AA76" s="4"/>
      <c r="AB76" s="4"/>
    </row>
    <row r="77" spans="1:28" ht="18.75" customHeight="1">
      <c r="A77" s="10">
        <v>527</v>
      </c>
      <c r="B77" s="29" t="s">
        <v>73</v>
      </c>
      <c r="C77" s="29"/>
      <c r="E77" s="58">
        <v>527</v>
      </c>
      <c r="F77" s="56" t="s">
        <v>389</v>
      </c>
      <c r="G77" s="67" t="s">
        <v>390</v>
      </c>
      <c r="H77" s="53">
        <v>40153</v>
      </c>
      <c r="I77" s="37" t="str">
        <f t="shared" ca="1" si="2"/>
        <v>16 Y    1 M</v>
      </c>
      <c r="J77" s="11"/>
      <c r="K77" s="69"/>
      <c r="L77" s="72" t="s">
        <v>140</v>
      </c>
      <c r="M77" s="42"/>
      <c r="N77" s="5">
        <v>3</v>
      </c>
      <c r="O77" s="6" t="str">
        <f>VLOOKUP(N77,$A$162:$B$172,2,FALSE)</f>
        <v>ASH-SHAIKH IHTHISHAM</v>
      </c>
      <c r="P77" s="6" t="str">
        <f>VLOOKUP(N77,$A$162:$C$172,3,FALSE)</f>
        <v>0770836023  / 0783027491</v>
      </c>
      <c r="Q77" s="84"/>
      <c r="R77" s="40" t="s">
        <v>573</v>
      </c>
      <c r="S77" s="77" t="s">
        <v>221</v>
      </c>
      <c r="T77" s="12" t="s">
        <v>232</v>
      </c>
      <c r="U77" s="4" t="s">
        <v>556</v>
      </c>
      <c r="V77" s="4"/>
      <c r="W77" s="4"/>
      <c r="X77" s="4"/>
      <c r="Y77" s="4"/>
      <c r="Z77" s="4"/>
      <c r="AA77" s="4"/>
      <c r="AB77" s="4"/>
    </row>
    <row r="78" spans="1:28" ht="18.75" customHeight="1">
      <c r="A78" s="10">
        <v>530</v>
      </c>
      <c r="B78" s="29" t="s">
        <v>74</v>
      </c>
      <c r="C78" s="29"/>
      <c r="D78" t="s">
        <v>250</v>
      </c>
      <c r="E78" s="58">
        <v>530</v>
      </c>
      <c r="F78" s="56" t="s">
        <v>391</v>
      </c>
      <c r="G78" s="67" t="s">
        <v>392</v>
      </c>
      <c r="H78" s="53">
        <v>39625</v>
      </c>
      <c r="I78" s="37" t="str">
        <f t="shared" ca="1" si="2"/>
        <v>17 Y    7 M</v>
      </c>
      <c r="J78" s="11">
        <v>200817701192</v>
      </c>
      <c r="K78" s="69"/>
      <c r="L78" s="72" t="s">
        <v>143</v>
      </c>
      <c r="M78" s="42" t="s">
        <v>115</v>
      </c>
      <c r="N78" s="5">
        <v>3</v>
      </c>
      <c r="O78" s="6" t="str">
        <f>VLOOKUP(N78,$A$162:$B$172,2,FALSE)</f>
        <v>ASH-SHAIKH IHTHISHAM</v>
      </c>
      <c r="P78" s="6" t="str">
        <f>VLOOKUP(N78,$A$162:$C$172,3,FALSE)</f>
        <v>0770836023  / 0783027491</v>
      </c>
      <c r="Q78" s="84"/>
      <c r="R78" s="40" t="s">
        <v>573</v>
      </c>
      <c r="S78" s="77" t="s">
        <v>233</v>
      </c>
      <c r="T78" s="12" t="s">
        <v>234</v>
      </c>
      <c r="U78" s="4" t="s">
        <v>557</v>
      </c>
      <c r="V78" s="4"/>
      <c r="W78" s="4"/>
      <c r="X78" s="4"/>
      <c r="Y78" s="4"/>
      <c r="Z78" s="4"/>
      <c r="AA78" s="4"/>
      <c r="AB78" s="4"/>
    </row>
    <row r="79" spans="1:28" ht="18.75" customHeight="1">
      <c r="A79" s="10">
        <v>531</v>
      </c>
      <c r="B79" s="29" t="s">
        <v>75</v>
      </c>
      <c r="C79" s="29"/>
      <c r="E79" s="58">
        <v>531</v>
      </c>
      <c r="F79" s="56" t="s">
        <v>75</v>
      </c>
      <c r="G79" s="67" t="s">
        <v>497</v>
      </c>
      <c r="H79" s="53">
        <v>41565</v>
      </c>
      <c r="I79" s="37" t="str">
        <f t="shared" ca="1" si="2"/>
        <v>12 Y    3 M</v>
      </c>
      <c r="J79" s="11"/>
      <c r="K79" s="69" t="s">
        <v>220</v>
      </c>
      <c r="L79" s="72" t="s">
        <v>140</v>
      </c>
      <c r="M79" s="42"/>
      <c r="N79" s="5" t="s">
        <v>104</v>
      </c>
      <c r="O79" s="6" t="e">
        <f>VLOOKUP(N79,$A$162:$B$172,2,FALSE)</f>
        <v>#N/A</v>
      </c>
      <c r="P79" s="6" t="e">
        <f>VLOOKUP(N79,$A$162:$C$172,3,FALSE)</f>
        <v>#N/A</v>
      </c>
      <c r="Q79" s="84"/>
      <c r="R79" s="40" t="s">
        <v>162</v>
      </c>
      <c r="S79" s="77" t="s">
        <v>221</v>
      </c>
      <c r="T79" s="12" t="s">
        <v>235</v>
      </c>
      <c r="U79" s="4" t="s">
        <v>558</v>
      </c>
      <c r="V79" s="4"/>
      <c r="W79" s="4"/>
      <c r="X79" s="4"/>
      <c r="Y79" s="4"/>
      <c r="Z79" s="4"/>
      <c r="AA79" s="4"/>
      <c r="AB79" s="4"/>
    </row>
    <row r="80" spans="1:28" ht="23.25" customHeight="1">
      <c r="A80" s="10">
        <v>532</v>
      </c>
      <c r="B80" s="29" t="s">
        <v>76</v>
      </c>
      <c r="C80" s="29"/>
      <c r="E80" s="58">
        <v>532</v>
      </c>
      <c r="F80" s="56" t="s">
        <v>76</v>
      </c>
      <c r="G80" s="67" t="s">
        <v>498</v>
      </c>
      <c r="H80" s="53">
        <v>41298</v>
      </c>
      <c r="I80" s="37" t="str">
        <f t="shared" ca="1" si="2"/>
        <v>13 Y    0 M</v>
      </c>
      <c r="J80" s="11"/>
      <c r="K80" s="69" t="s">
        <v>220</v>
      </c>
      <c r="L80" s="72" t="s">
        <v>140</v>
      </c>
      <c r="M80" s="42"/>
      <c r="N80" s="5" t="s">
        <v>103</v>
      </c>
      <c r="O80" s="6" t="e">
        <f>VLOOKUP(N80,$A$162:$B$172,2,FALSE)</f>
        <v>#N/A</v>
      </c>
      <c r="P80" s="6" t="e">
        <f>VLOOKUP(N80,$A$162:$C$172,3,FALSE)</f>
        <v>#N/A</v>
      </c>
      <c r="Q80" s="84"/>
      <c r="R80" s="40" t="s">
        <v>162</v>
      </c>
      <c r="S80" s="77" t="s">
        <v>221</v>
      </c>
      <c r="T80" s="12" t="s">
        <v>236</v>
      </c>
      <c r="U80" s="4" t="s">
        <v>559</v>
      </c>
      <c r="V80" s="4"/>
      <c r="W80" s="4"/>
      <c r="X80" s="4"/>
      <c r="Y80" s="4"/>
      <c r="Z80" s="4"/>
      <c r="AA80" s="4"/>
      <c r="AB80" s="4"/>
    </row>
    <row r="81" spans="1:28" ht="23.25" customHeight="1">
      <c r="A81" s="10">
        <v>533</v>
      </c>
      <c r="B81" s="29" t="s">
        <v>77</v>
      </c>
      <c r="C81" s="29"/>
      <c r="E81" s="58">
        <v>533</v>
      </c>
      <c r="F81" s="56" t="s">
        <v>77</v>
      </c>
      <c r="G81" s="67" t="s">
        <v>499</v>
      </c>
      <c r="H81" s="53">
        <v>40578</v>
      </c>
      <c r="I81" s="37" t="str">
        <f t="shared" ca="1" si="2"/>
        <v>15 Y    0 M</v>
      </c>
      <c r="J81" s="11"/>
      <c r="K81" s="69" t="s">
        <v>220</v>
      </c>
      <c r="L81" s="72" t="s">
        <v>140</v>
      </c>
      <c r="M81" s="42"/>
      <c r="N81" s="5" t="s">
        <v>103</v>
      </c>
      <c r="O81" s="6" t="e">
        <f>VLOOKUP(N81,$A$162:$B$172,2,FALSE)</f>
        <v>#N/A</v>
      </c>
      <c r="P81" s="6" t="e">
        <f>VLOOKUP(N81,$A$162:$C$172,3,FALSE)</f>
        <v>#N/A</v>
      </c>
      <c r="Q81" s="84"/>
      <c r="R81" s="40" t="s">
        <v>162</v>
      </c>
      <c r="S81" s="77" t="s">
        <v>221</v>
      </c>
      <c r="T81" s="12" t="s">
        <v>237</v>
      </c>
      <c r="U81" s="4" t="s">
        <v>547</v>
      </c>
      <c r="V81" s="4"/>
      <c r="W81" s="4"/>
      <c r="X81" s="4"/>
      <c r="Y81" s="4"/>
      <c r="Z81" s="4"/>
      <c r="AA81" s="4"/>
      <c r="AB81" s="4"/>
    </row>
    <row r="82" spans="1:28" ht="23.25" customHeight="1">
      <c r="A82" s="10">
        <v>535</v>
      </c>
      <c r="B82" s="29" t="s">
        <v>78</v>
      </c>
      <c r="C82" s="29"/>
      <c r="E82" s="58">
        <v>535</v>
      </c>
      <c r="F82" s="56" t="s">
        <v>78</v>
      </c>
      <c r="G82" s="67" t="s">
        <v>500</v>
      </c>
      <c r="H82" s="53">
        <v>40626</v>
      </c>
      <c r="I82" s="37" t="str">
        <f t="shared" ca="1" si="2"/>
        <v>14 Y    10 M</v>
      </c>
      <c r="J82" s="11"/>
      <c r="K82" s="69" t="s">
        <v>220</v>
      </c>
      <c r="L82" s="72" t="s">
        <v>140</v>
      </c>
      <c r="M82" s="42"/>
      <c r="N82" s="5" t="s">
        <v>103</v>
      </c>
      <c r="O82" s="6" t="e">
        <f>VLOOKUP(N82,$A$162:$B$172,2,FALSE)</f>
        <v>#N/A</v>
      </c>
      <c r="P82" s="6" t="e">
        <f>VLOOKUP(N82,$A$162:$C$172,3,FALSE)</f>
        <v>#N/A</v>
      </c>
      <c r="Q82" s="84"/>
      <c r="R82" s="40" t="s">
        <v>162</v>
      </c>
      <c r="S82" s="77" t="s">
        <v>221</v>
      </c>
      <c r="T82" s="12" t="s">
        <v>238</v>
      </c>
      <c r="U82" s="4">
        <v>770638956</v>
      </c>
      <c r="V82" s="4"/>
      <c r="W82" s="4"/>
      <c r="X82" s="4"/>
      <c r="Y82" s="4"/>
      <c r="Z82" s="4"/>
      <c r="AA82" s="4"/>
      <c r="AB82" s="4"/>
    </row>
    <row r="83" spans="1:28" ht="23.25" customHeight="1">
      <c r="A83" s="10">
        <v>536</v>
      </c>
      <c r="B83" s="29" t="s">
        <v>79</v>
      </c>
      <c r="C83" s="29"/>
      <c r="E83" s="58">
        <v>536</v>
      </c>
      <c r="F83" s="56" t="s">
        <v>79</v>
      </c>
      <c r="G83" s="67" t="s">
        <v>501</v>
      </c>
      <c r="H83" s="53">
        <v>40385</v>
      </c>
      <c r="I83" s="37" t="str">
        <f t="shared" ca="1" si="2"/>
        <v>15 Y    6 M</v>
      </c>
      <c r="J83" s="11"/>
      <c r="K83" s="69" t="s">
        <v>220</v>
      </c>
      <c r="L83" s="72" t="s">
        <v>140</v>
      </c>
      <c r="M83" s="42"/>
      <c r="N83" s="5" t="s">
        <v>103</v>
      </c>
      <c r="O83" s="6" t="e">
        <f>VLOOKUP(N83,$A$162:$B$172,2,FALSE)</f>
        <v>#N/A</v>
      </c>
      <c r="P83" s="6" t="e">
        <f>VLOOKUP(N83,$A$162:$C$172,3,FALSE)</f>
        <v>#N/A</v>
      </c>
      <c r="Q83" s="84"/>
      <c r="R83" s="40" t="s">
        <v>162</v>
      </c>
      <c r="S83" s="77" t="s">
        <v>221</v>
      </c>
      <c r="T83" s="12" t="s">
        <v>238</v>
      </c>
      <c r="U83" s="4">
        <v>770638956</v>
      </c>
      <c r="V83" s="4"/>
      <c r="W83" s="4"/>
      <c r="X83" s="4"/>
      <c r="Y83" s="4"/>
      <c r="Z83" s="4"/>
      <c r="AA83" s="4"/>
      <c r="AB83" s="4"/>
    </row>
    <row r="84" spans="1:28" ht="23.25" customHeight="1">
      <c r="A84" s="10">
        <v>538</v>
      </c>
      <c r="B84" s="29" t="s">
        <v>80</v>
      </c>
      <c r="C84" s="29"/>
      <c r="E84" s="58">
        <v>538</v>
      </c>
      <c r="F84" s="56" t="s">
        <v>80</v>
      </c>
      <c r="G84" s="67" t="s">
        <v>502</v>
      </c>
      <c r="H84" s="53">
        <v>40485</v>
      </c>
      <c r="I84" s="37" t="str">
        <f t="shared" ca="1" si="2"/>
        <v>15 Y    3 M</v>
      </c>
      <c r="J84" s="11"/>
      <c r="K84" s="69" t="s">
        <v>220</v>
      </c>
      <c r="L84" s="72" t="s">
        <v>140</v>
      </c>
      <c r="M84" s="42"/>
      <c r="N84" s="5" t="s">
        <v>104</v>
      </c>
      <c r="O84" s="6" t="e">
        <f>VLOOKUP(N84,$A$162:$B$172,2,FALSE)</f>
        <v>#N/A</v>
      </c>
      <c r="P84" s="6" t="e">
        <f>VLOOKUP(N84,$A$162:$C$172,3,FALSE)</f>
        <v>#N/A</v>
      </c>
      <c r="Q84" s="84"/>
      <c r="R84" s="40" t="s">
        <v>162</v>
      </c>
      <c r="S84" s="77" t="s">
        <v>221</v>
      </c>
      <c r="T84" s="12" t="s">
        <v>239</v>
      </c>
      <c r="U84" s="4" t="s">
        <v>560</v>
      </c>
      <c r="V84" s="4"/>
      <c r="W84" s="4"/>
      <c r="X84" s="4"/>
      <c r="Y84" s="4"/>
      <c r="Z84" s="4"/>
      <c r="AA84" s="4"/>
      <c r="AB84" s="4"/>
    </row>
    <row r="85" spans="1:28" ht="23.25" customHeight="1">
      <c r="A85" s="10">
        <v>539</v>
      </c>
      <c r="B85" s="29" t="s">
        <v>81</v>
      </c>
      <c r="C85" s="29"/>
      <c r="E85" s="58">
        <v>539</v>
      </c>
      <c r="F85" s="56" t="s">
        <v>81</v>
      </c>
      <c r="G85" s="67" t="s">
        <v>503</v>
      </c>
      <c r="H85" s="53">
        <v>40514</v>
      </c>
      <c r="I85" s="37" t="str">
        <f t="shared" ca="1" si="2"/>
        <v>15 Y    2 M</v>
      </c>
      <c r="J85" s="11"/>
      <c r="K85" s="69"/>
      <c r="L85" s="72" t="s">
        <v>140</v>
      </c>
      <c r="M85" s="42"/>
      <c r="N85" s="5">
        <v>2</v>
      </c>
      <c r="O85" s="6" t="str">
        <f>VLOOKUP(N85,$A$162:$B$172,2,FALSE)</f>
        <v>ASH-SHAIKH ILHAM</v>
      </c>
      <c r="P85" s="6" t="str">
        <f>VLOOKUP(N85,$A$162:$C$172,3,FALSE)</f>
        <v xml:space="preserve">0775771676  / 0754618392 </v>
      </c>
      <c r="Q85" s="84"/>
      <c r="R85" s="40" t="s">
        <v>573</v>
      </c>
      <c r="S85" s="77" t="s">
        <v>221</v>
      </c>
      <c r="T85" s="12" t="s">
        <v>240</v>
      </c>
      <c r="U85" s="4" t="s">
        <v>561</v>
      </c>
      <c r="V85" s="4"/>
      <c r="W85" s="4"/>
      <c r="X85" s="4"/>
      <c r="Y85" s="4"/>
      <c r="Z85" s="4"/>
      <c r="AA85" s="4"/>
      <c r="AB85" s="4"/>
    </row>
    <row r="86" spans="1:28" ht="18.75" customHeight="1">
      <c r="A86" s="10">
        <v>544</v>
      </c>
      <c r="B86" s="29" t="s">
        <v>82</v>
      </c>
      <c r="C86" s="29"/>
      <c r="E86" s="58">
        <v>544</v>
      </c>
      <c r="F86" s="56" t="s">
        <v>82</v>
      </c>
      <c r="G86" s="67" t="s">
        <v>504</v>
      </c>
      <c r="H86" s="53">
        <v>40595</v>
      </c>
      <c r="I86" s="37" t="str">
        <f t="shared" ca="1" si="2"/>
        <v>14 Y    11 M</v>
      </c>
      <c r="J86" s="11"/>
      <c r="K86" s="69">
        <v>45474</v>
      </c>
      <c r="L86" s="72" t="s">
        <v>140</v>
      </c>
      <c r="M86" s="42"/>
      <c r="N86" s="5" t="s">
        <v>104</v>
      </c>
      <c r="O86" s="6" t="e">
        <f>VLOOKUP(N86,$A$162:$B$172,2,FALSE)</f>
        <v>#N/A</v>
      </c>
      <c r="P86" s="6" t="e">
        <f>VLOOKUP(N86,$A$162:$C$172,3,FALSE)</f>
        <v>#N/A</v>
      </c>
      <c r="Q86" s="84"/>
      <c r="R86" s="40" t="s">
        <v>162</v>
      </c>
      <c r="S86" s="77" t="e">
        <v>#N/A</v>
      </c>
      <c r="T86" s="12" t="s">
        <v>241</v>
      </c>
      <c r="U86" s="4" t="e">
        <v>#N/A</v>
      </c>
      <c r="V86" s="4"/>
      <c r="W86" s="4"/>
      <c r="X86" s="4"/>
      <c r="Y86" s="4"/>
      <c r="Z86" s="4"/>
      <c r="AA86" s="4"/>
      <c r="AB86" s="4"/>
    </row>
    <row r="87" spans="1:28" ht="23.25" customHeight="1">
      <c r="A87" s="10">
        <v>546</v>
      </c>
      <c r="B87" s="29" t="s">
        <v>83</v>
      </c>
      <c r="C87" s="29"/>
      <c r="E87" s="58">
        <v>546</v>
      </c>
      <c r="F87" s="56" t="s">
        <v>83</v>
      </c>
      <c r="G87" s="67" t="s">
        <v>505</v>
      </c>
      <c r="H87" s="53">
        <v>41589</v>
      </c>
      <c r="I87" s="37" t="str">
        <f t="shared" ca="1" si="2"/>
        <v>12 Y    2 M</v>
      </c>
      <c r="J87" s="11"/>
      <c r="K87" s="69" t="s">
        <v>220</v>
      </c>
      <c r="L87" s="72" t="s">
        <v>140</v>
      </c>
      <c r="M87" s="42"/>
      <c r="N87" s="5" t="s">
        <v>104</v>
      </c>
      <c r="O87" s="6" t="e">
        <f>VLOOKUP(N87,$A$162:$B$172,2,FALSE)</f>
        <v>#N/A</v>
      </c>
      <c r="P87" s="6" t="e">
        <f>VLOOKUP(N87,$A$162:$C$172,3,FALSE)</f>
        <v>#N/A</v>
      </c>
      <c r="Q87" s="84"/>
      <c r="R87" s="40" t="s">
        <v>162</v>
      </c>
      <c r="S87" s="77" t="s">
        <v>221</v>
      </c>
      <c r="T87" s="12" t="s">
        <v>242</v>
      </c>
      <c r="U87" s="4">
        <v>771105389</v>
      </c>
      <c r="V87" s="4"/>
      <c r="W87" s="4"/>
      <c r="X87" s="4"/>
      <c r="Y87" s="4"/>
      <c r="Z87" s="4"/>
      <c r="AA87" s="4"/>
      <c r="AB87" s="4"/>
    </row>
    <row r="88" spans="1:28" ht="23.25" customHeight="1">
      <c r="A88" s="10">
        <v>550</v>
      </c>
      <c r="B88" s="30" t="s">
        <v>105</v>
      </c>
      <c r="C88" s="30"/>
      <c r="E88" s="58">
        <v>550</v>
      </c>
      <c r="F88" s="56" t="s">
        <v>105</v>
      </c>
      <c r="G88" s="67" t="s">
        <v>506</v>
      </c>
      <c r="H88" s="53">
        <v>40532</v>
      </c>
      <c r="I88" s="37" t="str">
        <f t="shared" ca="1" si="2"/>
        <v>15 Y    1 M</v>
      </c>
      <c r="J88" s="11"/>
      <c r="K88" s="69"/>
      <c r="L88" s="72" t="s">
        <v>143</v>
      </c>
      <c r="M88" s="42" t="s">
        <v>116</v>
      </c>
      <c r="N88" s="5">
        <v>2</v>
      </c>
      <c r="O88" s="6" t="str">
        <f>VLOOKUP(N88,$A$162:$B$172,2,FALSE)</f>
        <v>ASH-SHAIKH ILHAM</v>
      </c>
      <c r="P88" s="6" t="str">
        <f>VLOOKUP(N88,$A$162:$C$172,3,FALSE)</f>
        <v xml:space="preserve">0775771676  / 0754618392 </v>
      </c>
      <c r="Q88" s="84"/>
      <c r="R88" s="40" t="s">
        <v>573</v>
      </c>
      <c r="S88" s="77" t="s">
        <v>137</v>
      </c>
      <c r="T88" s="12" t="s">
        <v>243</v>
      </c>
      <c r="U88" s="4" t="s">
        <v>562</v>
      </c>
      <c r="V88" s="4"/>
      <c r="W88" s="4"/>
      <c r="X88" s="4"/>
      <c r="Y88" s="4"/>
      <c r="Z88" s="4"/>
      <c r="AA88" s="4"/>
      <c r="AB88" s="4"/>
    </row>
    <row r="89" spans="1:28" ht="18.75" customHeight="1">
      <c r="A89" s="10">
        <v>552</v>
      </c>
      <c r="B89" s="30" t="s">
        <v>84</v>
      </c>
      <c r="C89" s="30"/>
      <c r="E89" s="58">
        <v>552</v>
      </c>
      <c r="F89" s="56" t="s">
        <v>393</v>
      </c>
      <c r="G89" s="67" t="s">
        <v>394</v>
      </c>
      <c r="H89" s="53">
        <v>40077</v>
      </c>
      <c r="I89" s="37" t="str">
        <f t="shared" ca="1" si="2"/>
        <v>16 Y    4 M</v>
      </c>
      <c r="J89" s="11">
        <v>200923401602</v>
      </c>
      <c r="K89" s="69"/>
      <c r="L89" s="72" t="s">
        <v>140</v>
      </c>
      <c r="M89" s="42"/>
      <c r="N89" s="5">
        <v>3</v>
      </c>
      <c r="O89" s="6" t="str">
        <f>VLOOKUP(N89,$A$162:$B$172,2,FALSE)</f>
        <v>ASH-SHAIKH IHTHISHAM</v>
      </c>
      <c r="P89" s="6" t="str">
        <f>VLOOKUP(N89,$A$162:$C$172,3,FALSE)</f>
        <v>0770836023  / 0783027491</v>
      </c>
      <c r="Q89" s="84"/>
      <c r="R89" s="40" t="s">
        <v>573</v>
      </c>
      <c r="S89" s="77" t="s">
        <v>137</v>
      </c>
      <c r="T89" s="12" t="s">
        <v>244</v>
      </c>
      <c r="U89" s="4">
        <v>774595259</v>
      </c>
      <c r="V89" s="4"/>
      <c r="W89" s="4"/>
      <c r="X89" s="4"/>
      <c r="Y89" s="4"/>
      <c r="Z89" s="4"/>
      <c r="AA89" s="4"/>
      <c r="AB89" s="4"/>
    </row>
    <row r="90" spans="1:28" ht="18.75" customHeight="1">
      <c r="A90" s="10">
        <v>553</v>
      </c>
      <c r="B90" s="30" t="s">
        <v>85</v>
      </c>
      <c r="C90" s="30"/>
      <c r="E90" s="58">
        <v>553</v>
      </c>
      <c r="F90" s="56" t="s">
        <v>378</v>
      </c>
      <c r="G90" s="67" t="s">
        <v>395</v>
      </c>
      <c r="H90" s="53">
        <v>40913</v>
      </c>
      <c r="I90" s="37" t="str">
        <f t="shared" ca="1" si="2"/>
        <v>14 Y    1 M</v>
      </c>
      <c r="J90" s="11"/>
      <c r="K90" s="69"/>
      <c r="L90" s="72" t="s">
        <v>140</v>
      </c>
      <c r="M90" s="42" t="s">
        <v>115</v>
      </c>
      <c r="N90" s="5">
        <v>3</v>
      </c>
      <c r="O90" s="6" t="str">
        <f>VLOOKUP(N90,$A$162:$B$172,2,FALSE)</f>
        <v>ASH-SHAIKH IHTHISHAM</v>
      </c>
      <c r="P90" s="6" t="str">
        <f>VLOOKUP(N90,$A$162:$C$172,3,FALSE)</f>
        <v>0770836023  / 0783027491</v>
      </c>
      <c r="Q90" s="84"/>
      <c r="R90" s="40" t="s">
        <v>573</v>
      </c>
      <c r="S90" s="77" t="s">
        <v>137</v>
      </c>
      <c r="T90" s="12" t="s">
        <v>187</v>
      </c>
      <c r="U90" s="4" t="s">
        <v>563</v>
      </c>
      <c r="V90" s="4"/>
      <c r="W90" s="4"/>
      <c r="X90" s="4"/>
      <c r="Y90" s="4"/>
      <c r="Z90" s="4"/>
      <c r="AA90" s="4"/>
      <c r="AB90" s="4"/>
    </row>
    <row r="91" spans="1:28" ht="18.75" customHeight="1">
      <c r="A91" s="10">
        <v>555</v>
      </c>
      <c r="B91" s="30" t="s">
        <v>86</v>
      </c>
      <c r="C91" s="30"/>
      <c r="E91" s="58">
        <v>555</v>
      </c>
      <c r="F91" s="56" t="s">
        <v>86</v>
      </c>
      <c r="G91" s="67" t="s">
        <v>507</v>
      </c>
      <c r="H91" s="53">
        <v>41076</v>
      </c>
      <c r="I91" s="37" t="str">
        <f t="shared" ca="1" si="2"/>
        <v>13 Y    7 M</v>
      </c>
      <c r="J91" s="11"/>
      <c r="K91" s="69" t="s">
        <v>245</v>
      </c>
      <c r="L91" s="72" t="s">
        <v>140</v>
      </c>
      <c r="M91" s="42"/>
      <c r="N91" s="5" t="s">
        <v>104</v>
      </c>
      <c r="O91" s="6" t="e">
        <f>VLOOKUP(N91,$A$162:$B$172,2,FALSE)</f>
        <v>#N/A</v>
      </c>
      <c r="P91" s="6" t="e">
        <f>VLOOKUP(N91,$A$162:$C$172,3,FALSE)</f>
        <v>#N/A</v>
      </c>
      <c r="Q91" s="84"/>
      <c r="R91" s="40" t="s">
        <v>162</v>
      </c>
      <c r="S91" s="77" t="s">
        <v>137</v>
      </c>
      <c r="T91" s="12" t="s">
        <v>246</v>
      </c>
      <c r="U91" s="4" t="s">
        <v>247</v>
      </c>
      <c r="V91" s="4"/>
      <c r="W91" s="4"/>
      <c r="X91" s="4"/>
      <c r="Y91" s="4"/>
      <c r="Z91" s="4"/>
      <c r="AA91" s="4"/>
      <c r="AB91" s="4"/>
    </row>
    <row r="92" spans="1:28" ht="23.25" customHeight="1">
      <c r="A92" s="10">
        <v>558</v>
      </c>
      <c r="B92" s="29" t="s">
        <v>87</v>
      </c>
      <c r="C92" s="29"/>
      <c r="E92" s="58">
        <v>558</v>
      </c>
      <c r="F92" s="56" t="s">
        <v>87</v>
      </c>
      <c r="G92" s="67" t="s">
        <v>508</v>
      </c>
      <c r="H92" s="53"/>
      <c r="I92" s="37"/>
      <c r="J92" s="11"/>
      <c r="K92" s="69" t="s">
        <v>248</v>
      </c>
      <c r="L92" s="72" t="s">
        <v>140</v>
      </c>
      <c r="M92" s="42"/>
      <c r="N92" s="5" t="s">
        <v>104</v>
      </c>
      <c r="O92" s="6" t="e">
        <f>VLOOKUP(N92,$A$162:$B$172,2,FALSE)</f>
        <v>#N/A</v>
      </c>
      <c r="P92" s="6" t="e">
        <f>VLOOKUP(N92,$A$162:$C$172,3,FALSE)</f>
        <v>#N/A</v>
      </c>
      <c r="Q92" s="84"/>
      <c r="R92" s="40" t="s">
        <v>162</v>
      </c>
      <c r="S92" s="77" t="s">
        <v>137</v>
      </c>
      <c r="T92" s="12" t="s">
        <v>249</v>
      </c>
      <c r="U92" s="4">
        <v>0</v>
      </c>
      <c r="V92" s="4"/>
      <c r="W92" s="4"/>
      <c r="X92" s="4"/>
      <c r="Y92" s="4"/>
      <c r="Z92" s="4"/>
      <c r="AA92" s="4"/>
      <c r="AB92" s="4"/>
    </row>
    <row r="93" spans="1:28" ht="23.25" customHeight="1">
      <c r="A93" s="10">
        <v>559</v>
      </c>
      <c r="B93" s="29" t="s">
        <v>88</v>
      </c>
      <c r="C93" s="29"/>
      <c r="E93" s="58">
        <v>559</v>
      </c>
      <c r="F93" s="56" t="s">
        <v>88</v>
      </c>
      <c r="G93" s="67" t="s">
        <v>402</v>
      </c>
      <c r="H93" s="53">
        <v>40603</v>
      </c>
      <c r="I93" s="37" t="str">
        <f t="shared" ref="I93:I132" ca="1" si="3">DATEDIF(H93, TODAY(), "Y") &amp; " Y    " &amp; DATEDIF(H93, TODAY(), "YM") &amp; " M"</f>
        <v>14 Y    11 M</v>
      </c>
      <c r="J93" s="11"/>
      <c r="K93" s="69">
        <v>45579</v>
      </c>
      <c r="L93" s="72" t="s">
        <v>143</v>
      </c>
      <c r="M93" s="42" t="s">
        <v>114</v>
      </c>
      <c r="N93" s="5" t="s">
        <v>135</v>
      </c>
      <c r="O93" s="6" t="e">
        <f>VLOOKUP(N93,$A$162:$B$172,2,FALSE)</f>
        <v>#N/A</v>
      </c>
      <c r="P93" s="6" t="e">
        <f>VLOOKUP(N93,$A$162:$C$172,3,FALSE)</f>
        <v>#N/A</v>
      </c>
      <c r="Q93" s="84"/>
      <c r="R93" s="40" t="s">
        <v>162</v>
      </c>
      <c r="S93" s="77" t="s">
        <v>407</v>
      </c>
      <c r="T93" s="29" t="s">
        <v>434</v>
      </c>
      <c r="U93" s="4" t="s">
        <v>435</v>
      </c>
      <c r="V93" s="4"/>
      <c r="W93" s="4"/>
      <c r="X93" s="4"/>
      <c r="Y93" s="4"/>
      <c r="Z93" s="4"/>
      <c r="AA93" s="4"/>
      <c r="AB93" s="4"/>
    </row>
    <row r="94" spans="1:28" ht="23.25" customHeight="1">
      <c r="A94" s="10">
        <v>560</v>
      </c>
      <c r="B94" s="29" t="s">
        <v>106</v>
      </c>
      <c r="C94" s="29"/>
      <c r="E94" s="58">
        <v>560</v>
      </c>
      <c r="F94" s="56" t="s">
        <v>106</v>
      </c>
      <c r="G94" s="67" t="s">
        <v>106</v>
      </c>
      <c r="H94" s="53">
        <v>40973</v>
      </c>
      <c r="I94" s="37" t="str">
        <f t="shared" ca="1" si="3"/>
        <v>13 Y    11 M</v>
      </c>
      <c r="J94" s="11"/>
      <c r="K94" s="69">
        <v>45662</v>
      </c>
      <c r="L94" s="72" t="s">
        <v>140</v>
      </c>
      <c r="M94" s="42"/>
      <c r="N94" s="5" t="s">
        <v>107</v>
      </c>
      <c r="O94" s="6" t="e">
        <f>VLOOKUP(N94,$A$162:$B$172,2,FALSE)</f>
        <v>#N/A</v>
      </c>
      <c r="P94" s="6" t="e">
        <f>VLOOKUP(N94,$A$162:$C$172,3,FALSE)</f>
        <v>#N/A</v>
      </c>
      <c r="Q94" s="84"/>
      <c r="R94" s="40" t="s">
        <v>162</v>
      </c>
      <c r="S94" s="77">
        <v>0</v>
      </c>
      <c r="T94" s="29" t="e">
        <f>VLOOKUP(E94,#REF!,15,FALSE)</f>
        <v>#REF!</v>
      </c>
      <c r="U94" s="4">
        <v>0</v>
      </c>
      <c r="V94" s="4"/>
      <c r="W94" s="4"/>
      <c r="X94" s="4"/>
      <c r="Y94" s="4"/>
      <c r="Z94" s="4"/>
      <c r="AA94" s="4"/>
      <c r="AB94" s="4"/>
    </row>
    <row r="95" spans="1:28" ht="18.75" customHeight="1">
      <c r="A95" s="10">
        <v>561</v>
      </c>
      <c r="B95" s="29" t="s">
        <v>89</v>
      </c>
      <c r="C95" s="29"/>
      <c r="E95" s="58">
        <v>561</v>
      </c>
      <c r="F95" s="56" t="s">
        <v>89</v>
      </c>
      <c r="G95" s="67" t="s">
        <v>89</v>
      </c>
      <c r="H95" s="53">
        <v>41686</v>
      </c>
      <c r="I95" s="37" t="str">
        <f t="shared" ca="1" si="3"/>
        <v>11 Y    11 M</v>
      </c>
      <c r="J95" s="11"/>
      <c r="K95" s="69">
        <v>45662</v>
      </c>
      <c r="L95" s="72" t="s">
        <v>140</v>
      </c>
      <c r="M95" s="42"/>
      <c r="N95" s="5" t="s">
        <v>107</v>
      </c>
      <c r="O95" s="6" t="e">
        <f>VLOOKUP(N95,$A$162:$B$172,2,FALSE)</f>
        <v>#N/A</v>
      </c>
      <c r="P95" s="6" t="e">
        <f>VLOOKUP(N95,$A$162:$C$172,3,FALSE)</f>
        <v>#N/A</v>
      </c>
      <c r="Q95" s="84"/>
      <c r="R95" s="40" t="s">
        <v>162</v>
      </c>
      <c r="S95" s="77">
        <v>0</v>
      </c>
      <c r="T95" s="29" t="e">
        <f>VLOOKUP(E95,#REF!,15,FALSE)</f>
        <v>#REF!</v>
      </c>
      <c r="U95" s="4">
        <v>0</v>
      </c>
      <c r="V95" s="4"/>
      <c r="W95" s="4"/>
      <c r="X95" s="4"/>
      <c r="Y95" s="4"/>
      <c r="Z95" s="4"/>
      <c r="AA95" s="4"/>
      <c r="AB95" s="4"/>
    </row>
    <row r="96" spans="1:28" ht="23.25" customHeight="1">
      <c r="A96" s="10">
        <v>563</v>
      </c>
      <c r="B96" s="29" t="s">
        <v>90</v>
      </c>
      <c r="C96" s="29"/>
      <c r="E96" s="58">
        <v>563</v>
      </c>
      <c r="F96" s="56" t="s">
        <v>90</v>
      </c>
      <c r="G96" s="67" t="s">
        <v>509</v>
      </c>
      <c r="H96" s="53"/>
      <c r="I96" s="37" t="str">
        <f t="shared" ca="1" si="3"/>
        <v>126 Y    1 M</v>
      </c>
      <c r="J96" s="11"/>
      <c r="K96" s="69"/>
      <c r="L96" s="72" t="s">
        <v>140</v>
      </c>
      <c r="M96" s="42"/>
      <c r="N96" s="5">
        <v>2</v>
      </c>
      <c r="O96" s="6" t="str">
        <f>VLOOKUP(N96,$A$162:$B$172,2,FALSE)</f>
        <v>ASH-SHAIKH ILHAM</v>
      </c>
      <c r="P96" s="6" t="str">
        <f>VLOOKUP(N96,$A$162:$C$172,3,FALSE)</f>
        <v xml:space="preserve">0775771676  / 0754618392 </v>
      </c>
      <c r="Q96" s="84"/>
      <c r="R96" s="40" t="s">
        <v>573</v>
      </c>
      <c r="S96" s="77">
        <v>0</v>
      </c>
      <c r="T96" s="29"/>
      <c r="U96" s="4">
        <v>0</v>
      </c>
      <c r="V96" s="4"/>
      <c r="W96" s="4"/>
      <c r="X96" s="4"/>
      <c r="Y96" s="4"/>
      <c r="Z96" s="4"/>
      <c r="AA96" s="4"/>
      <c r="AB96" s="4"/>
    </row>
    <row r="97" spans="1:28" ht="23.25" customHeight="1">
      <c r="A97" s="10">
        <v>564</v>
      </c>
      <c r="B97" s="29" t="s">
        <v>252</v>
      </c>
      <c r="C97" s="29"/>
      <c r="E97" s="58">
        <v>564</v>
      </c>
      <c r="F97" s="56" t="s">
        <v>252</v>
      </c>
      <c r="G97" s="67" t="s">
        <v>510</v>
      </c>
      <c r="H97" s="53">
        <v>40609</v>
      </c>
      <c r="I97" s="37" t="str">
        <f t="shared" ca="1" si="3"/>
        <v>14 Y    10 M</v>
      </c>
      <c r="J97" s="11"/>
      <c r="K97" s="69">
        <v>45662</v>
      </c>
      <c r="L97" s="72" t="s">
        <v>140</v>
      </c>
      <c r="M97" s="42"/>
      <c r="N97" s="5" t="s">
        <v>102</v>
      </c>
      <c r="O97" s="6" t="e">
        <f>VLOOKUP(N97,$A$162:$B$172,2,FALSE)</f>
        <v>#N/A</v>
      </c>
      <c r="P97" s="6" t="e">
        <f>VLOOKUP(N97,$A$162:$C$172,3,FALSE)</f>
        <v>#N/A</v>
      </c>
      <c r="Q97" s="84"/>
      <c r="R97" s="40" t="s">
        <v>162</v>
      </c>
      <c r="S97" s="77">
        <v>0</v>
      </c>
      <c r="T97" s="29"/>
      <c r="U97" s="4">
        <v>0</v>
      </c>
      <c r="V97" s="4"/>
      <c r="W97" s="4"/>
      <c r="X97" s="4"/>
      <c r="Y97" s="4"/>
      <c r="Z97" s="4"/>
      <c r="AA97" s="4"/>
      <c r="AB97" s="4"/>
    </row>
    <row r="98" spans="1:28" ht="23.25" customHeight="1">
      <c r="A98" s="10">
        <v>566</v>
      </c>
      <c r="B98" s="29" t="s">
        <v>117</v>
      </c>
      <c r="C98" s="29"/>
      <c r="E98" s="58">
        <v>566</v>
      </c>
      <c r="F98" s="56" t="s">
        <v>117</v>
      </c>
      <c r="G98" s="67" t="s">
        <v>91</v>
      </c>
      <c r="H98" s="53">
        <v>41388</v>
      </c>
      <c r="I98" s="37" t="str">
        <f t="shared" ca="1" si="3"/>
        <v>12 Y    9 M</v>
      </c>
      <c r="J98" s="11"/>
      <c r="K98" s="69">
        <v>45662</v>
      </c>
      <c r="L98" s="72" t="s">
        <v>140</v>
      </c>
      <c r="M98" s="42"/>
      <c r="N98" s="5" t="s">
        <v>101</v>
      </c>
      <c r="O98" s="6" t="e">
        <f>VLOOKUP(N98,$A$162:$B$172,2,FALSE)</f>
        <v>#N/A</v>
      </c>
      <c r="P98" s="6" t="e">
        <f>VLOOKUP(N98,$A$162:$C$172,3,FALSE)</f>
        <v>#N/A</v>
      </c>
      <c r="Q98" s="84"/>
      <c r="R98" s="40" t="s">
        <v>162</v>
      </c>
      <c r="S98" s="77">
        <v>0</v>
      </c>
      <c r="T98" s="29"/>
      <c r="U98" s="4">
        <v>0</v>
      </c>
      <c r="V98" s="4"/>
      <c r="W98" s="4"/>
      <c r="X98" s="4"/>
      <c r="Y98" s="4"/>
      <c r="Z98" s="4"/>
      <c r="AA98" s="4"/>
      <c r="AB98" s="4"/>
    </row>
    <row r="99" spans="1:28" ht="23.25" customHeight="1">
      <c r="A99" s="10">
        <v>568</v>
      </c>
      <c r="B99" s="29" t="s">
        <v>118</v>
      </c>
      <c r="C99" s="29"/>
      <c r="E99" s="58">
        <v>568</v>
      </c>
      <c r="F99" s="56" t="s">
        <v>118</v>
      </c>
      <c r="G99" s="67" t="s">
        <v>511</v>
      </c>
      <c r="H99" s="53">
        <v>41572</v>
      </c>
      <c r="I99" s="37" t="str">
        <f t="shared" ca="1" si="3"/>
        <v>12 Y    3 M</v>
      </c>
      <c r="J99" s="11"/>
      <c r="K99" s="69">
        <v>45662</v>
      </c>
      <c r="L99" s="72" t="s">
        <v>143</v>
      </c>
      <c r="M99" s="42" t="s">
        <v>114</v>
      </c>
      <c r="N99" s="5" t="s">
        <v>107</v>
      </c>
      <c r="O99" s="6" t="e">
        <f>VLOOKUP(N99,$A$162:$B$172,2,FALSE)</f>
        <v>#N/A</v>
      </c>
      <c r="P99" s="6" t="e">
        <f>VLOOKUP(N99,$A$162:$C$172,3,FALSE)</f>
        <v>#N/A</v>
      </c>
      <c r="Q99" s="84"/>
      <c r="R99" s="40" t="s">
        <v>162</v>
      </c>
      <c r="S99" s="77">
        <v>0</v>
      </c>
      <c r="T99" s="29" t="e">
        <f>VLOOKUP(E99,#REF!,15,FALSE)</f>
        <v>#REF!</v>
      </c>
      <c r="U99" s="4">
        <v>0</v>
      </c>
      <c r="V99" s="4"/>
      <c r="W99" s="4"/>
      <c r="X99" s="4"/>
      <c r="Y99" s="4"/>
      <c r="Z99" s="4"/>
      <c r="AA99" s="4"/>
      <c r="AB99" s="4"/>
    </row>
    <row r="100" spans="1:28" ht="23.25" customHeight="1">
      <c r="A100" s="10">
        <v>570</v>
      </c>
      <c r="B100" s="29" t="s">
        <v>119</v>
      </c>
      <c r="C100" s="29"/>
      <c r="E100" s="58">
        <v>570</v>
      </c>
      <c r="F100" s="56" t="s">
        <v>119</v>
      </c>
      <c r="G100" s="67" t="s">
        <v>512</v>
      </c>
      <c r="H100" s="53">
        <v>41443</v>
      </c>
      <c r="I100" s="37" t="str">
        <f t="shared" ca="1" si="3"/>
        <v>12 Y    7 M</v>
      </c>
      <c r="J100" s="11"/>
      <c r="K100" s="69">
        <v>45662</v>
      </c>
      <c r="L100" s="72" t="s">
        <v>140</v>
      </c>
      <c r="M100" s="42"/>
      <c r="N100" s="5" t="s">
        <v>107</v>
      </c>
      <c r="O100" s="6" t="e">
        <f>G3=VLOOKUP(N100,$A$162:$B$172,2,FALSE)</f>
        <v>#N/A</v>
      </c>
      <c r="P100" s="6" t="e">
        <f>VLOOKUP(N100,$A$162:$C$172,3,FALSE)</f>
        <v>#N/A</v>
      </c>
      <c r="Q100" s="84"/>
      <c r="R100" s="40" t="s">
        <v>162</v>
      </c>
      <c r="S100" s="77">
        <v>0</v>
      </c>
      <c r="T100" s="29" t="e">
        <f>VLOOKUP(E100,#REF!,15,FALSE)</f>
        <v>#REF!</v>
      </c>
      <c r="U100" s="4">
        <v>0</v>
      </c>
      <c r="V100" s="4"/>
      <c r="W100" s="4"/>
      <c r="X100" s="4"/>
      <c r="Y100" s="4"/>
      <c r="Z100" s="4"/>
      <c r="AA100" s="4"/>
      <c r="AB100" s="4"/>
    </row>
    <row r="101" spans="1:28" ht="23.25" customHeight="1">
      <c r="A101" s="10">
        <v>572</v>
      </c>
      <c r="B101" s="29" t="s">
        <v>120</v>
      </c>
      <c r="C101" s="29"/>
      <c r="E101" s="58">
        <v>572</v>
      </c>
      <c r="F101" s="56" t="s">
        <v>120</v>
      </c>
      <c r="G101" s="67" t="s">
        <v>513</v>
      </c>
      <c r="H101" s="53">
        <v>41923</v>
      </c>
      <c r="I101" s="37" t="str">
        <f t="shared" ca="1" si="3"/>
        <v>11 Y    3 M</v>
      </c>
      <c r="J101" s="11"/>
      <c r="K101" s="69">
        <v>45662</v>
      </c>
      <c r="L101" s="72" t="s">
        <v>140</v>
      </c>
      <c r="M101" s="42"/>
      <c r="N101" s="5" t="s">
        <v>101</v>
      </c>
      <c r="O101" s="6" t="e">
        <f>VLOOKUP(N101,$A$162:$B$172,2,FALSE)</f>
        <v>#N/A</v>
      </c>
      <c r="P101" s="6" t="e">
        <f>VLOOKUP(N101,$A$162:$C$172,3,FALSE)</f>
        <v>#N/A</v>
      </c>
      <c r="Q101" s="84"/>
      <c r="R101" s="40" t="s">
        <v>162</v>
      </c>
      <c r="S101" s="77">
        <v>0</v>
      </c>
      <c r="T101" s="29"/>
      <c r="U101" s="4">
        <v>0</v>
      </c>
      <c r="V101" s="4"/>
      <c r="W101" s="4"/>
      <c r="X101" s="4"/>
      <c r="Y101" s="4"/>
      <c r="Z101" s="4"/>
      <c r="AA101" s="4"/>
      <c r="AB101" s="4"/>
    </row>
    <row r="102" spans="1:28" ht="23.25" customHeight="1">
      <c r="A102" s="10">
        <v>573</v>
      </c>
      <c r="B102" s="29" t="s">
        <v>121</v>
      </c>
      <c r="C102" s="29"/>
      <c r="E102" s="58">
        <v>573</v>
      </c>
      <c r="F102" s="56" t="s">
        <v>121</v>
      </c>
      <c r="G102" s="67" t="s">
        <v>514</v>
      </c>
      <c r="H102" s="53">
        <v>41601</v>
      </c>
      <c r="I102" s="37" t="str">
        <f t="shared" ca="1" si="3"/>
        <v>12 Y    2 M</v>
      </c>
      <c r="J102" s="11"/>
      <c r="K102" s="69">
        <v>45662</v>
      </c>
      <c r="L102" s="72" t="s">
        <v>140</v>
      </c>
      <c r="M102" s="42"/>
      <c r="N102" s="5" t="s">
        <v>107</v>
      </c>
      <c r="O102" s="6" t="e">
        <f>VLOOKUP(N102,$A$162:$B$172,2,FALSE)</f>
        <v>#N/A</v>
      </c>
      <c r="P102" s="6" t="e">
        <f>VLOOKUP(N102,$A$162:$C$172,3,FALSE)</f>
        <v>#N/A</v>
      </c>
      <c r="Q102" s="84"/>
      <c r="R102" s="40" t="s">
        <v>162</v>
      </c>
      <c r="S102" s="77">
        <v>0</v>
      </c>
      <c r="T102" s="29" t="e">
        <f>VLOOKUP(E102,#REF!,15,FALSE)</f>
        <v>#REF!</v>
      </c>
      <c r="U102" s="4">
        <v>0</v>
      </c>
      <c r="V102" s="4"/>
      <c r="W102" s="4"/>
      <c r="X102" s="4"/>
      <c r="Y102" s="4"/>
      <c r="Z102" s="4"/>
      <c r="AA102" s="4"/>
      <c r="AB102" s="4"/>
    </row>
    <row r="103" spans="1:28" ht="23.25" customHeight="1">
      <c r="A103" s="10">
        <v>574</v>
      </c>
      <c r="B103" s="29" t="s">
        <v>122</v>
      </c>
      <c r="C103" s="29"/>
      <c r="E103" s="58">
        <v>574</v>
      </c>
      <c r="F103" s="56" t="s">
        <v>122</v>
      </c>
      <c r="G103" s="57" t="s">
        <v>515</v>
      </c>
      <c r="H103" s="53">
        <v>41731</v>
      </c>
      <c r="I103" s="37" t="str">
        <f t="shared" ca="1" si="3"/>
        <v>11 Y    10 M</v>
      </c>
      <c r="J103" s="11"/>
      <c r="K103" s="69">
        <v>45662</v>
      </c>
      <c r="L103" s="72" t="s">
        <v>140</v>
      </c>
      <c r="M103" s="42"/>
      <c r="N103" s="5" t="s">
        <v>107</v>
      </c>
      <c r="O103" s="6" t="e">
        <f>VLOOKUP(N103,$A$162:$B$172,2,FALSE)</f>
        <v>#N/A</v>
      </c>
      <c r="P103" s="6" t="e">
        <f>VLOOKUP(N103,$A$162:$C$172,3,FALSE)</f>
        <v>#N/A</v>
      </c>
      <c r="Q103" s="84"/>
      <c r="R103" s="40" t="s">
        <v>162</v>
      </c>
      <c r="S103" s="77">
        <v>0</v>
      </c>
      <c r="T103" s="29" t="e">
        <f>VLOOKUP(E103,#REF!,15,FALSE)</f>
        <v>#REF!</v>
      </c>
      <c r="U103" s="4">
        <v>0</v>
      </c>
      <c r="V103" s="4"/>
      <c r="W103" s="4"/>
      <c r="X103" s="4"/>
      <c r="Y103" s="4"/>
      <c r="Z103" s="4"/>
      <c r="AA103" s="4"/>
      <c r="AB103" s="4"/>
    </row>
    <row r="104" spans="1:28" ht="23.25" customHeight="1">
      <c r="A104" s="10">
        <v>575</v>
      </c>
      <c r="B104" s="29" t="s">
        <v>123</v>
      </c>
      <c r="C104" s="29"/>
      <c r="E104" s="58">
        <v>575</v>
      </c>
      <c r="F104" s="56" t="s">
        <v>123</v>
      </c>
      <c r="G104" s="57" t="s">
        <v>516</v>
      </c>
      <c r="H104" s="53">
        <v>41913</v>
      </c>
      <c r="I104" s="37" t="str">
        <f t="shared" ca="1" si="3"/>
        <v>11 Y    4 M</v>
      </c>
      <c r="J104" s="11"/>
      <c r="K104" s="69">
        <v>45662</v>
      </c>
      <c r="L104" s="72" t="s">
        <v>140</v>
      </c>
      <c r="M104" s="42"/>
      <c r="N104" s="5" t="s">
        <v>102</v>
      </c>
      <c r="O104" s="6" t="e">
        <f>VLOOKUP(N104,$A$162:$B$172,2,FALSE)</f>
        <v>#N/A</v>
      </c>
      <c r="P104" s="6" t="e">
        <f>VLOOKUP(N104,$A$162:$C$172,3,FALSE)</f>
        <v>#N/A</v>
      </c>
      <c r="Q104" s="84"/>
      <c r="R104" s="40" t="s">
        <v>162</v>
      </c>
      <c r="S104" s="77">
        <v>0</v>
      </c>
      <c r="T104" s="29"/>
      <c r="U104" s="4">
        <v>0</v>
      </c>
      <c r="V104" s="4"/>
      <c r="W104" s="4"/>
      <c r="X104" s="4"/>
      <c r="Y104" s="4"/>
      <c r="Z104" s="4"/>
      <c r="AA104" s="4"/>
      <c r="AB104" s="4"/>
    </row>
    <row r="105" spans="1:28" ht="23.25" customHeight="1">
      <c r="A105" s="10">
        <v>576</v>
      </c>
      <c r="B105" s="29" t="s">
        <v>124</v>
      </c>
      <c r="C105" s="29"/>
      <c r="E105" s="58">
        <v>576</v>
      </c>
      <c r="F105" s="56" t="s">
        <v>124</v>
      </c>
      <c r="G105" s="57" t="s">
        <v>517</v>
      </c>
      <c r="H105" s="53">
        <v>41033</v>
      </c>
      <c r="I105" s="37" t="str">
        <f t="shared" ca="1" si="3"/>
        <v>13 Y    9 M</v>
      </c>
      <c r="J105" s="11"/>
      <c r="K105" s="69">
        <v>45662</v>
      </c>
      <c r="L105" s="72" t="s">
        <v>140</v>
      </c>
      <c r="M105" s="42"/>
      <c r="N105" s="5" t="s">
        <v>107</v>
      </c>
      <c r="O105" s="6" t="e">
        <f>VLOOKUP(N105,$A$162:$B$172,2,FALSE)</f>
        <v>#N/A</v>
      </c>
      <c r="P105" s="6" t="e">
        <f>VLOOKUP(N105,$A$162:$C$172,3,FALSE)</f>
        <v>#N/A</v>
      </c>
      <c r="Q105" s="84"/>
      <c r="R105" s="40" t="s">
        <v>162</v>
      </c>
      <c r="S105" s="77">
        <v>0</v>
      </c>
      <c r="T105" s="29" t="e">
        <f>VLOOKUP(E105,#REF!,15,FALSE)</f>
        <v>#REF!</v>
      </c>
      <c r="U105" s="4">
        <v>0</v>
      </c>
      <c r="V105" s="4"/>
      <c r="W105" s="4"/>
      <c r="X105" s="4"/>
      <c r="Y105" s="4"/>
      <c r="Z105" s="4"/>
      <c r="AA105" s="4"/>
      <c r="AB105" s="4"/>
    </row>
    <row r="106" spans="1:28" ht="23.25" customHeight="1">
      <c r="A106" s="10">
        <v>577</v>
      </c>
      <c r="B106" s="29" t="s">
        <v>125</v>
      </c>
      <c r="C106" s="29"/>
      <c r="E106" s="58">
        <v>577</v>
      </c>
      <c r="F106" s="56" t="s">
        <v>125</v>
      </c>
      <c r="G106" s="57" t="s">
        <v>518</v>
      </c>
      <c r="H106" s="53">
        <v>41796</v>
      </c>
      <c r="I106" s="37" t="str">
        <f t="shared" ca="1" si="3"/>
        <v>11 Y    7 M</v>
      </c>
      <c r="J106" s="11"/>
      <c r="K106" s="69">
        <v>45669</v>
      </c>
      <c r="L106" s="72" t="s">
        <v>140</v>
      </c>
      <c r="M106" s="42"/>
      <c r="N106" s="5" t="s">
        <v>101</v>
      </c>
      <c r="O106" s="6" t="e">
        <f>VLOOKUP(N106,$A$162:$B$172,2,FALSE)</f>
        <v>#N/A</v>
      </c>
      <c r="P106" s="6" t="e">
        <f>VLOOKUP(N106,$A$162:$C$172,3,FALSE)</f>
        <v>#N/A</v>
      </c>
      <c r="Q106" s="84"/>
      <c r="R106" s="40" t="s">
        <v>162</v>
      </c>
      <c r="S106" s="77">
        <v>0</v>
      </c>
      <c r="T106" s="29"/>
      <c r="U106" s="4">
        <v>0</v>
      </c>
      <c r="V106" s="4"/>
      <c r="W106" s="4"/>
      <c r="X106" s="4"/>
      <c r="Y106" s="4"/>
      <c r="Z106" s="4"/>
      <c r="AA106" s="4"/>
      <c r="AB106" s="4"/>
    </row>
    <row r="107" spans="1:28" ht="21.75" customHeight="1">
      <c r="A107" s="10">
        <v>578</v>
      </c>
      <c r="B107" s="29" t="s">
        <v>126</v>
      </c>
      <c r="C107" s="29"/>
      <c r="E107" s="58">
        <v>578</v>
      </c>
      <c r="F107" s="56" t="s">
        <v>126</v>
      </c>
      <c r="G107" s="57" t="s">
        <v>92</v>
      </c>
      <c r="H107" s="53">
        <v>41496</v>
      </c>
      <c r="I107" s="37" t="str">
        <f t="shared" ca="1" si="3"/>
        <v>12 Y    5 M</v>
      </c>
      <c r="J107" s="11"/>
      <c r="K107" s="69">
        <v>45669</v>
      </c>
      <c r="L107" s="72" t="s">
        <v>143</v>
      </c>
      <c r="M107" s="42" t="s">
        <v>114</v>
      </c>
      <c r="N107" s="5" t="s">
        <v>101</v>
      </c>
      <c r="O107" s="6" t="e">
        <f>VLOOKUP(N107,$A$162:$B$172,2,FALSE)</f>
        <v>#N/A</v>
      </c>
      <c r="P107" s="6" t="e">
        <f>VLOOKUP(N107,$A$162:$C$172,3,FALSE)</f>
        <v>#N/A</v>
      </c>
      <c r="Q107" s="84"/>
      <c r="R107" s="40" t="s">
        <v>162</v>
      </c>
      <c r="S107" s="77">
        <v>0</v>
      </c>
      <c r="T107" s="29" t="s">
        <v>437</v>
      </c>
      <c r="U107" s="4">
        <v>0</v>
      </c>
      <c r="V107" s="4"/>
      <c r="W107" s="4"/>
      <c r="X107" s="4"/>
      <c r="Y107" s="4"/>
      <c r="Z107" s="4"/>
      <c r="AA107" s="4"/>
      <c r="AB107" s="4"/>
    </row>
    <row r="108" spans="1:28" ht="23.25" customHeight="1">
      <c r="A108" s="10">
        <v>579</v>
      </c>
      <c r="B108" s="29" t="s">
        <v>127</v>
      </c>
      <c r="C108" s="29"/>
      <c r="E108" s="58">
        <v>579</v>
      </c>
      <c r="F108" s="56" t="s">
        <v>127</v>
      </c>
      <c r="G108" s="57" t="s">
        <v>93</v>
      </c>
      <c r="H108" s="53">
        <v>41518</v>
      </c>
      <c r="I108" s="37" t="str">
        <f t="shared" ca="1" si="3"/>
        <v>12 Y    5 M</v>
      </c>
      <c r="J108" s="11"/>
      <c r="K108" s="69">
        <v>45669</v>
      </c>
      <c r="L108" s="72" t="s">
        <v>140</v>
      </c>
      <c r="M108" s="42"/>
      <c r="N108" s="5" t="s">
        <v>135</v>
      </c>
      <c r="O108" s="6" t="e">
        <f>VLOOKUP(N108,$A$162:$B$172,2,FALSE)</f>
        <v>#N/A</v>
      </c>
      <c r="P108" s="6" t="e">
        <f>VLOOKUP(N108,$A$162:$C$172,3,FALSE)</f>
        <v>#N/A</v>
      </c>
      <c r="Q108" s="84"/>
      <c r="R108" s="40" t="s">
        <v>162</v>
      </c>
      <c r="S108" s="77">
        <v>0</v>
      </c>
      <c r="T108" s="29" t="e">
        <f>VLOOKUP(E108,#REF!,15,FALSE)</f>
        <v>#REF!</v>
      </c>
      <c r="U108" s="4">
        <v>0</v>
      </c>
      <c r="V108" s="4"/>
      <c r="W108" s="4"/>
      <c r="X108" s="4"/>
      <c r="Y108" s="4"/>
      <c r="Z108" s="4"/>
      <c r="AA108" s="4"/>
      <c r="AB108" s="4"/>
    </row>
    <row r="109" spans="1:28" ht="23.25" customHeight="1">
      <c r="A109" s="10">
        <v>581</v>
      </c>
      <c r="B109" s="29" t="s">
        <v>94</v>
      </c>
      <c r="C109" s="29"/>
      <c r="E109" s="58">
        <v>581</v>
      </c>
      <c r="F109" s="56" t="s">
        <v>94</v>
      </c>
      <c r="G109" s="57" t="s">
        <v>94</v>
      </c>
      <c r="H109" s="53">
        <v>41585</v>
      </c>
      <c r="I109" s="37" t="str">
        <f t="shared" ca="1" si="3"/>
        <v>12 Y    2 M</v>
      </c>
      <c r="J109" s="11"/>
      <c r="K109" s="69">
        <v>45669</v>
      </c>
      <c r="L109" s="72" t="s">
        <v>140</v>
      </c>
      <c r="M109" s="42"/>
      <c r="N109" s="5" t="s">
        <v>102</v>
      </c>
      <c r="O109" s="6" t="e">
        <f>VLOOKUP(N109,$A$162:$B$172,2,FALSE)</f>
        <v>#N/A</v>
      </c>
      <c r="P109" s="6" t="e">
        <f>VLOOKUP(N109,$A$162:$C$172,3,FALSE)</f>
        <v>#N/A</v>
      </c>
      <c r="Q109" s="84"/>
      <c r="R109" s="40" t="s">
        <v>162</v>
      </c>
      <c r="S109" s="77">
        <v>0</v>
      </c>
      <c r="T109" s="29"/>
      <c r="U109" s="4">
        <v>0</v>
      </c>
      <c r="V109" s="4"/>
      <c r="W109" s="4"/>
      <c r="X109" s="4"/>
      <c r="Y109" s="4"/>
      <c r="Z109" s="4"/>
      <c r="AA109" s="4"/>
      <c r="AB109" s="4"/>
    </row>
    <row r="110" spans="1:28" ht="18.75" customHeight="1">
      <c r="A110" s="10">
        <v>583</v>
      </c>
      <c r="B110" s="29" t="s">
        <v>128</v>
      </c>
      <c r="C110" s="29"/>
      <c r="E110" s="58">
        <v>583</v>
      </c>
      <c r="F110" s="56" t="s">
        <v>128</v>
      </c>
      <c r="G110" s="57" t="s">
        <v>95</v>
      </c>
      <c r="H110" s="53">
        <v>41209</v>
      </c>
      <c r="I110" s="37" t="str">
        <f t="shared" ca="1" si="3"/>
        <v>13 Y    3 M</v>
      </c>
      <c r="J110" s="11"/>
      <c r="K110" s="69">
        <v>45692</v>
      </c>
      <c r="L110" s="72" t="s">
        <v>143</v>
      </c>
      <c r="M110" s="42" t="s">
        <v>114</v>
      </c>
      <c r="N110" s="5" t="s">
        <v>101</v>
      </c>
      <c r="O110" s="6" t="e">
        <f>VLOOKUP(N110,$A$162:$B$172,2,FALSE)</f>
        <v>#N/A</v>
      </c>
      <c r="P110" s="6" t="e">
        <f>VLOOKUP(N110,$A$162:$C$172,3,FALSE)</f>
        <v>#N/A</v>
      </c>
      <c r="Q110" s="84"/>
      <c r="R110" s="40" t="s">
        <v>162</v>
      </c>
      <c r="S110" s="77">
        <v>0</v>
      </c>
      <c r="T110" s="29" t="s">
        <v>436</v>
      </c>
      <c r="U110" s="4">
        <v>0</v>
      </c>
      <c r="V110" s="4"/>
      <c r="W110" s="4"/>
      <c r="X110" s="4"/>
      <c r="Y110" s="4"/>
      <c r="Z110" s="4"/>
      <c r="AA110" s="4"/>
      <c r="AB110" s="4"/>
    </row>
    <row r="111" spans="1:28" ht="23.25" customHeight="1">
      <c r="A111" s="10">
        <v>584</v>
      </c>
      <c r="B111" s="29" t="s">
        <v>129</v>
      </c>
      <c r="C111" s="29"/>
      <c r="E111" s="58">
        <v>584</v>
      </c>
      <c r="F111" s="56" t="s">
        <v>129</v>
      </c>
      <c r="G111" s="57" t="s">
        <v>519</v>
      </c>
      <c r="H111" s="53"/>
      <c r="I111" s="37" t="str">
        <f t="shared" ca="1" si="3"/>
        <v>126 Y    1 M</v>
      </c>
      <c r="J111" s="11"/>
      <c r="K111" s="69"/>
      <c r="L111" s="72" t="s">
        <v>140</v>
      </c>
      <c r="M111" s="42"/>
      <c r="N111" s="5">
        <v>2</v>
      </c>
      <c r="O111" s="6" t="str">
        <f>VLOOKUP(N111,$A$162:$B$172,2,FALSE)</f>
        <v>ASH-SHAIKH ILHAM</v>
      </c>
      <c r="P111" s="6" t="str">
        <f>VLOOKUP(N111,$A$162:$C$172,3,FALSE)</f>
        <v xml:space="preserve">0775771676  / 0754618392 </v>
      </c>
      <c r="Q111" s="84"/>
      <c r="R111" s="40" t="s">
        <v>573</v>
      </c>
      <c r="S111" s="77">
        <v>0</v>
      </c>
      <c r="T111" s="29"/>
      <c r="U111" s="4">
        <v>0</v>
      </c>
      <c r="V111" s="4"/>
      <c r="W111" s="4"/>
      <c r="X111" s="4"/>
      <c r="Y111" s="4"/>
      <c r="Z111" s="4"/>
      <c r="AA111" s="4"/>
      <c r="AB111" s="4"/>
    </row>
    <row r="112" spans="1:28" ht="23.25" customHeight="1">
      <c r="A112" s="10">
        <v>585</v>
      </c>
      <c r="B112" s="29" t="s">
        <v>130</v>
      </c>
      <c r="C112" s="29"/>
      <c r="E112" s="58">
        <v>585</v>
      </c>
      <c r="F112" s="56" t="s">
        <v>130</v>
      </c>
      <c r="G112" s="57" t="s">
        <v>109</v>
      </c>
      <c r="H112" s="53">
        <v>41993</v>
      </c>
      <c r="I112" s="37" t="str">
        <f t="shared" ca="1" si="3"/>
        <v>11 Y    1 M</v>
      </c>
      <c r="J112" s="11"/>
      <c r="K112" s="69">
        <v>45706</v>
      </c>
      <c r="L112" s="72" t="s">
        <v>140</v>
      </c>
      <c r="M112" s="42"/>
      <c r="N112" s="5" t="s">
        <v>104</v>
      </c>
      <c r="O112" s="6" t="e">
        <f>VLOOKUP(N112,$A$162:$B$172,2,FALSE)</f>
        <v>#N/A</v>
      </c>
      <c r="P112" s="6" t="e">
        <f>VLOOKUP(N112,$A$162:$C$172,3,FALSE)</f>
        <v>#N/A</v>
      </c>
      <c r="Q112" s="84"/>
      <c r="R112" s="40" t="s">
        <v>162</v>
      </c>
      <c r="S112" s="77">
        <v>0</v>
      </c>
      <c r="T112" s="29"/>
      <c r="U112" s="4">
        <v>0</v>
      </c>
      <c r="V112" s="4"/>
      <c r="W112" s="4"/>
      <c r="X112" s="4"/>
      <c r="Y112" s="4"/>
      <c r="Z112" s="4"/>
      <c r="AA112" s="4"/>
      <c r="AB112" s="4"/>
    </row>
    <row r="113" spans="1:28" ht="23.25" customHeight="1">
      <c r="A113" s="10">
        <v>587</v>
      </c>
      <c r="B113" s="29" t="s">
        <v>131</v>
      </c>
      <c r="C113" s="29"/>
      <c r="E113" s="58">
        <v>587</v>
      </c>
      <c r="F113" s="56" t="s">
        <v>131</v>
      </c>
      <c r="G113" s="57" t="s">
        <v>520</v>
      </c>
      <c r="H113" s="53">
        <v>41164</v>
      </c>
      <c r="I113" s="37" t="str">
        <f t="shared" ca="1" si="3"/>
        <v>13 Y    4 M</v>
      </c>
      <c r="J113" s="11"/>
      <c r="K113" s="69">
        <v>45710</v>
      </c>
      <c r="L113" s="72" t="s">
        <v>143</v>
      </c>
      <c r="M113" s="42" t="s">
        <v>114</v>
      </c>
      <c r="N113" s="5" t="s">
        <v>107</v>
      </c>
      <c r="O113" s="6" t="e">
        <f>VLOOKUP(N113,$A$162:$B$172,2,FALSE)</f>
        <v>#N/A</v>
      </c>
      <c r="P113" s="6" t="e">
        <f>VLOOKUP(N113,$A$162:$C$172,3,FALSE)</f>
        <v>#N/A</v>
      </c>
      <c r="Q113" s="84"/>
      <c r="R113" s="40" t="s">
        <v>162</v>
      </c>
      <c r="S113" s="77">
        <v>0</v>
      </c>
      <c r="T113" s="29" t="e">
        <f>VLOOKUP(E113,#REF!,15,FALSE)</f>
        <v>#REF!</v>
      </c>
      <c r="U113" s="4">
        <v>0</v>
      </c>
      <c r="V113" s="4"/>
      <c r="W113" s="4"/>
      <c r="X113" s="4"/>
      <c r="Y113" s="4"/>
      <c r="Z113" s="4"/>
      <c r="AA113" s="4"/>
      <c r="AB113" s="4"/>
    </row>
    <row r="114" spans="1:28" ht="23.25" customHeight="1">
      <c r="A114" s="10">
        <v>589</v>
      </c>
      <c r="B114" s="29" t="s">
        <v>132</v>
      </c>
      <c r="C114" s="29"/>
      <c r="E114" s="58">
        <v>589</v>
      </c>
      <c r="F114" s="56" t="s">
        <v>132</v>
      </c>
      <c r="G114" s="57" t="s">
        <v>108</v>
      </c>
      <c r="H114" s="53">
        <v>41727</v>
      </c>
      <c r="I114" s="37" t="str">
        <f t="shared" ca="1" si="3"/>
        <v>11 Y    10 M</v>
      </c>
      <c r="J114" s="11"/>
      <c r="K114" s="69">
        <v>45767</v>
      </c>
      <c r="L114" s="72" t="s">
        <v>140</v>
      </c>
      <c r="M114" s="42"/>
      <c r="N114" s="5" t="s">
        <v>107</v>
      </c>
      <c r="O114" s="6" t="e">
        <f>VLOOKUP(N114,$A$162:$B$172,2,FALSE)</f>
        <v>#N/A</v>
      </c>
      <c r="P114" s="6" t="e">
        <f>VLOOKUP(N114,$A$162:$C$172,3,FALSE)</f>
        <v>#N/A</v>
      </c>
      <c r="Q114" s="84"/>
      <c r="R114" s="40" t="s">
        <v>162</v>
      </c>
      <c r="S114" s="77">
        <v>0</v>
      </c>
      <c r="T114" s="29" t="e">
        <f>VLOOKUP(E114,#REF!,15,FALSE)</f>
        <v>#REF!</v>
      </c>
      <c r="U114" s="4">
        <v>0</v>
      </c>
      <c r="V114" s="4"/>
      <c r="W114" s="4"/>
      <c r="X114" s="4"/>
      <c r="Y114" s="4"/>
      <c r="Z114" s="4"/>
      <c r="AA114" s="4"/>
      <c r="AB114" s="4"/>
    </row>
    <row r="115" spans="1:28" ht="21.75" customHeight="1">
      <c r="A115" s="10">
        <v>590</v>
      </c>
      <c r="B115" s="29" t="s">
        <v>133</v>
      </c>
      <c r="C115" s="29"/>
      <c r="E115" s="58">
        <v>590</v>
      </c>
      <c r="F115" s="56" t="s">
        <v>133</v>
      </c>
      <c r="G115" s="57" t="s">
        <v>521</v>
      </c>
      <c r="H115" s="53">
        <v>41277</v>
      </c>
      <c r="I115" s="37" t="str">
        <f t="shared" ca="1" si="3"/>
        <v>13 Y    1 M</v>
      </c>
      <c r="J115" s="11"/>
      <c r="K115" s="69">
        <v>45777</v>
      </c>
      <c r="L115" s="72" t="s">
        <v>140</v>
      </c>
      <c r="M115" s="42"/>
      <c r="N115" s="5" t="s">
        <v>107</v>
      </c>
      <c r="O115" s="6" t="e">
        <f>VLOOKUP(N115,$A$162:$B$172,2,FALSE)</f>
        <v>#N/A</v>
      </c>
      <c r="P115" s="6" t="e">
        <f>VLOOKUP(N115,$A$162:$C$172,3,FALSE)</f>
        <v>#N/A</v>
      </c>
      <c r="Q115" s="84"/>
      <c r="R115" s="40" t="s">
        <v>162</v>
      </c>
      <c r="S115" s="77">
        <v>0</v>
      </c>
      <c r="T115" s="29" t="e">
        <f>VLOOKUP(E115,#REF!,15,FALSE)</f>
        <v>#REF!</v>
      </c>
      <c r="U115" s="4">
        <v>0</v>
      </c>
      <c r="V115" s="4"/>
      <c r="W115" s="4"/>
      <c r="X115" s="4"/>
      <c r="Y115" s="4"/>
      <c r="Z115" s="4"/>
      <c r="AA115" s="4"/>
      <c r="AB115" s="4"/>
    </row>
    <row r="116" spans="1:28" ht="21.75" customHeight="1">
      <c r="A116" s="10">
        <v>591</v>
      </c>
      <c r="B116" s="29" t="s">
        <v>134</v>
      </c>
      <c r="C116" s="29"/>
      <c r="E116" s="58">
        <v>591</v>
      </c>
      <c r="F116" s="56" t="s">
        <v>134</v>
      </c>
      <c r="G116" s="57" t="s">
        <v>522</v>
      </c>
      <c r="H116" s="53">
        <v>41950</v>
      </c>
      <c r="I116" s="37" t="str">
        <f t="shared" ca="1" si="3"/>
        <v>11 Y    2 M</v>
      </c>
      <c r="J116" s="11"/>
      <c r="K116" s="69">
        <v>45794</v>
      </c>
      <c r="L116" s="72" t="s">
        <v>140</v>
      </c>
      <c r="M116" s="42"/>
      <c r="N116" s="5" t="s">
        <v>135</v>
      </c>
      <c r="O116" s="6" t="e">
        <f>VLOOKUP(N116,$A$162:$B$172,2,FALSE)</f>
        <v>#N/A</v>
      </c>
      <c r="P116" s="6" t="e">
        <f>VLOOKUP(N116,$A$162:$C$172,3,FALSE)</f>
        <v>#N/A</v>
      </c>
      <c r="Q116" s="87"/>
      <c r="R116" s="40" t="s">
        <v>162</v>
      </c>
      <c r="S116" s="77">
        <v>0</v>
      </c>
      <c r="T116" s="29" t="e">
        <f>VLOOKUP(E116,#REF!,15,FALSE)</f>
        <v>#REF!</v>
      </c>
      <c r="U116" s="4">
        <v>0</v>
      </c>
      <c r="V116" s="4"/>
      <c r="W116" s="4"/>
      <c r="X116" s="4"/>
      <c r="Y116" s="4"/>
      <c r="Z116" s="4"/>
      <c r="AA116" s="4"/>
      <c r="AB116" s="4"/>
    </row>
    <row r="117" spans="1:28" ht="21.75" customHeight="1">
      <c r="A117" s="10"/>
      <c r="B117" s="29"/>
      <c r="C117" s="29"/>
      <c r="E117" s="58">
        <v>592</v>
      </c>
      <c r="F117" s="56" t="s">
        <v>443</v>
      </c>
      <c r="G117" s="57" t="s">
        <v>444</v>
      </c>
      <c r="H117" s="53">
        <v>41335</v>
      </c>
      <c r="I117" s="37" t="str">
        <f t="shared" ca="1" si="3"/>
        <v>12 Y    11 M</v>
      </c>
      <c r="J117" s="11"/>
      <c r="K117" s="69">
        <v>46029</v>
      </c>
      <c r="L117" s="72" t="s">
        <v>140</v>
      </c>
      <c r="M117" s="42"/>
      <c r="N117" s="5" t="s">
        <v>564</v>
      </c>
      <c r="O117" s="6" t="e">
        <f>VLOOKUP(N117,$A$162:$B$172,2,FALSE)</f>
        <v>#N/A</v>
      </c>
      <c r="P117" s="6" t="e">
        <f>VLOOKUP(N117,$A$162:$C$172,3,FALSE)</f>
        <v>#N/A</v>
      </c>
      <c r="Q117" s="84">
        <v>6</v>
      </c>
      <c r="R117" s="40" t="s">
        <v>162</v>
      </c>
      <c r="S117" s="77" t="s">
        <v>137</v>
      </c>
      <c r="T117" s="12" t="s">
        <v>445</v>
      </c>
      <c r="U117" s="4" t="s">
        <v>446</v>
      </c>
      <c r="V117" s="4"/>
      <c r="W117" s="4"/>
      <c r="X117" s="4"/>
      <c r="Y117" s="4"/>
      <c r="Z117" s="4"/>
      <c r="AA117" s="4"/>
      <c r="AB117" s="4"/>
    </row>
    <row r="118" spans="1:28" ht="21.75" customHeight="1">
      <c r="A118" s="10"/>
      <c r="B118" s="29"/>
      <c r="C118" s="29"/>
      <c r="E118" s="58">
        <v>593</v>
      </c>
      <c r="F118" s="56" t="s">
        <v>447</v>
      </c>
      <c r="G118" s="57" t="s">
        <v>448</v>
      </c>
      <c r="H118" s="53">
        <v>42074</v>
      </c>
      <c r="I118" s="37" t="str">
        <f t="shared" ca="1" si="3"/>
        <v>10 Y    10 M</v>
      </c>
      <c r="J118" s="11"/>
      <c r="K118" s="69">
        <v>46029</v>
      </c>
      <c r="L118" s="72" t="s">
        <v>140</v>
      </c>
      <c r="M118" s="42"/>
      <c r="N118" s="5" t="s">
        <v>564</v>
      </c>
      <c r="O118" s="6" t="e">
        <f>VLOOKUP(N118,$A$162:$B$172,2,FALSE)</f>
        <v>#N/A</v>
      </c>
      <c r="P118" s="6" t="e">
        <f>VLOOKUP(N118,$A$162:$C$172,3,FALSE)</f>
        <v>#N/A</v>
      </c>
      <c r="Q118" s="84">
        <v>6</v>
      </c>
      <c r="R118" s="40" t="s">
        <v>162</v>
      </c>
      <c r="S118" s="77" t="s">
        <v>137</v>
      </c>
      <c r="T118" s="12" t="s">
        <v>449</v>
      </c>
      <c r="U118" s="4" t="s">
        <v>450</v>
      </c>
      <c r="V118" s="4"/>
      <c r="W118" s="4"/>
      <c r="X118" s="4"/>
      <c r="Y118" s="4"/>
      <c r="Z118" s="4"/>
      <c r="AA118" s="4"/>
      <c r="AB118" s="4"/>
    </row>
    <row r="119" spans="1:28" ht="21.75" customHeight="1">
      <c r="A119" s="10">
        <v>594</v>
      </c>
      <c r="B119" s="29" t="s">
        <v>261</v>
      </c>
      <c r="C119" s="29"/>
      <c r="E119" s="58">
        <v>594</v>
      </c>
      <c r="F119" s="56" t="s">
        <v>261</v>
      </c>
      <c r="G119" s="57" t="s">
        <v>410</v>
      </c>
      <c r="H119" s="53">
        <v>40844</v>
      </c>
      <c r="I119" s="37" t="str">
        <f t="shared" ca="1" si="3"/>
        <v>14 Y    3 M</v>
      </c>
      <c r="J119" s="11"/>
      <c r="K119" s="69">
        <v>46204</v>
      </c>
      <c r="L119" s="72" t="s">
        <v>140</v>
      </c>
      <c r="M119" s="42"/>
      <c r="N119" s="5">
        <v>1</v>
      </c>
      <c r="O119" s="6" t="str">
        <f>VLOOKUP(N119,$A$162:$B$172,2,FALSE)</f>
        <v>ASH-SHAIKH   FAYZEEN</v>
      </c>
      <c r="P119" s="6" t="str">
        <f>VLOOKUP(N119,$A$162:$C$172,3,FALSE)</f>
        <v>0775020033  / 0761792209</v>
      </c>
      <c r="Q119" s="84">
        <v>9</v>
      </c>
      <c r="R119" s="40" t="s">
        <v>573</v>
      </c>
      <c r="S119" s="77" t="s">
        <v>137</v>
      </c>
      <c r="T119" s="29" t="s">
        <v>411</v>
      </c>
      <c r="U119" s="4">
        <v>777125297</v>
      </c>
      <c r="V119" s="4"/>
      <c r="W119" s="4"/>
      <c r="X119" s="4"/>
      <c r="Y119" s="4"/>
      <c r="Z119" s="4"/>
      <c r="AA119" s="4"/>
      <c r="AB119" s="4"/>
    </row>
    <row r="120" spans="1:28" ht="21.75" customHeight="1">
      <c r="A120" s="10"/>
      <c r="B120" s="29"/>
      <c r="C120" s="29"/>
      <c r="E120" s="58">
        <v>595</v>
      </c>
      <c r="F120" s="56" t="s">
        <v>451</v>
      </c>
      <c r="G120" s="57" t="s">
        <v>452</v>
      </c>
      <c r="H120" s="53">
        <v>41961</v>
      </c>
      <c r="I120" s="37" t="str">
        <f t="shared" ca="1" si="3"/>
        <v>11 Y    2 M</v>
      </c>
      <c r="J120" s="11"/>
      <c r="K120" s="69">
        <v>46029</v>
      </c>
      <c r="L120" s="72" t="s">
        <v>140</v>
      </c>
      <c r="M120" s="42"/>
      <c r="N120" s="5" t="s">
        <v>564</v>
      </c>
      <c r="O120" s="6" t="e">
        <f>VLOOKUP(N120,$A$162:$B$172,2,FALSE)</f>
        <v>#N/A</v>
      </c>
      <c r="P120" s="6" t="e">
        <f>VLOOKUP(N120,$A$162:$C$172,3,FALSE)</f>
        <v>#N/A</v>
      </c>
      <c r="Q120" s="84">
        <v>6</v>
      </c>
      <c r="R120" s="40" t="s">
        <v>162</v>
      </c>
      <c r="S120" s="77" t="s">
        <v>137</v>
      </c>
      <c r="T120" s="29" t="s">
        <v>411</v>
      </c>
      <c r="U120" s="4">
        <v>777125297</v>
      </c>
      <c r="V120" s="4"/>
      <c r="W120" s="4"/>
      <c r="X120" s="4"/>
      <c r="Y120" s="4"/>
      <c r="Z120" s="4"/>
      <c r="AA120" s="4"/>
      <c r="AB120" s="4"/>
    </row>
    <row r="121" spans="1:28" ht="21.75" customHeight="1">
      <c r="A121" s="10">
        <v>596</v>
      </c>
      <c r="B121" s="29" t="s">
        <v>260</v>
      </c>
      <c r="C121" s="29"/>
      <c r="E121" s="58">
        <v>596</v>
      </c>
      <c r="F121" s="56" t="s">
        <v>260</v>
      </c>
      <c r="G121" s="57" t="s">
        <v>403</v>
      </c>
      <c r="H121" s="53">
        <v>41194</v>
      </c>
      <c r="I121" s="37" t="str">
        <f t="shared" ca="1" si="3"/>
        <v>13 Y    3 M</v>
      </c>
      <c r="J121" s="11"/>
      <c r="K121" s="69">
        <v>46204</v>
      </c>
      <c r="L121" s="72" t="s">
        <v>143</v>
      </c>
      <c r="M121" s="42" t="s">
        <v>114</v>
      </c>
      <c r="N121" s="5">
        <v>1</v>
      </c>
      <c r="O121" s="6" t="str">
        <f>VLOOKUP(N121,$A$162:$B$172,2,FALSE)</f>
        <v>ASH-SHAIKH   FAYZEEN</v>
      </c>
      <c r="P121" s="6" t="str">
        <f>VLOOKUP(N121,$A$162:$C$172,3,FALSE)</f>
        <v>0775020033  / 0761792209</v>
      </c>
      <c r="Q121" s="84">
        <v>9</v>
      </c>
      <c r="R121" s="40" t="s">
        <v>573</v>
      </c>
      <c r="S121" s="77">
        <v>0</v>
      </c>
      <c r="T121" s="12" t="s">
        <v>263</v>
      </c>
      <c r="U121" s="4" t="s">
        <v>404</v>
      </c>
      <c r="V121" s="4"/>
      <c r="W121" s="4"/>
      <c r="X121" s="4"/>
      <c r="Y121" s="4"/>
      <c r="Z121" s="4"/>
      <c r="AA121" s="4"/>
      <c r="AB121" s="4"/>
    </row>
    <row r="122" spans="1:28" ht="21.75" customHeight="1">
      <c r="A122" s="10"/>
      <c r="B122" s="29"/>
      <c r="C122" s="29"/>
      <c r="E122" s="58">
        <v>597</v>
      </c>
      <c r="F122" s="56" t="s">
        <v>453</v>
      </c>
      <c r="G122" s="57" t="s">
        <v>575</v>
      </c>
      <c r="H122" s="53">
        <v>41466</v>
      </c>
      <c r="I122" s="37" t="str">
        <f t="shared" ca="1" si="3"/>
        <v>12 Y    6 M</v>
      </c>
      <c r="J122" s="11"/>
      <c r="K122" s="69">
        <v>46029</v>
      </c>
      <c r="L122" s="72" t="s">
        <v>140</v>
      </c>
      <c r="M122" s="42"/>
      <c r="N122" s="5" t="s">
        <v>564</v>
      </c>
      <c r="O122" s="6" t="e">
        <f>VLOOKUP(N122,$A$162:$B$172,2,FALSE)</f>
        <v>#N/A</v>
      </c>
      <c r="P122" s="6" t="e">
        <f>VLOOKUP(N122,$A$162:$C$172,3,FALSE)</f>
        <v>#N/A</v>
      </c>
      <c r="Q122" s="84">
        <v>6</v>
      </c>
      <c r="R122" s="40" t="s">
        <v>162</v>
      </c>
      <c r="S122" s="77" t="s">
        <v>137</v>
      </c>
      <c r="T122" s="12" t="s">
        <v>172</v>
      </c>
      <c r="U122" s="4">
        <v>756089311</v>
      </c>
      <c r="V122" s="4"/>
      <c r="W122" s="4"/>
      <c r="X122" s="4"/>
      <c r="Y122" s="4"/>
      <c r="Z122" s="4"/>
      <c r="AA122" s="4"/>
      <c r="AB122" s="4"/>
    </row>
    <row r="123" spans="1:28" ht="21.75" customHeight="1">
      <c r="A123" s="10"/>
      <c r="B123" s="29"/>
      <c r="C123" s="29"/>
      <c r="E123" s="58">
        <v>598</v>
      </c>
      <c r="F123" s="56" t="s">
        <v>454</v>
      </c>
      <c r="G123" s="57" t="s">
        <v>455</v>
      </c>
      <c r="H123" s="53">
        <v>42229</v>
      </c>
      <c r="I123" s="37" t="str">
        <f t="shared" ca="1" si="3"/>
        <v>10 Y    5 M</v>
      </c>
      <c r="J123" s="11"/>
      <c r="K123" s="69">
        <v>46029</v>
      </c>
      <c r="L123" s="72" t="s">
        <v>140</v>
      </c>
      <c r="M123" s="42"/>
      <c r="N123" s="5" t="s">
        <v>564</v>
      </c>
      <c r="O123" s="6" t="e">
        <f>VLOOKUP(N123,$A$162:$B$172,2,FALSE)</f>
        <v>#N/A</v>
      </c>
      <c r="P123" s="6" t="e">
        <f>VLOOKUP(N123,$A$162:$C$172,3,FALSE)</f>
        <v>#N/A</v>
      </c>
      <c r="Q123" s="84">
        <v>6</v>
      </c>
      <c r="R123" s="40" t="s">
        <v>162</v>
      </c>
      <c r="S123" s="77" t="s">
        <v>137</v>
      </c>
      <c r="T123" s="12" t="s">
        <v>456</v>
      </c>
      <c r="U123" s="4" t="s">
        <v>457</v>
      </c>
      <c r="V123" s="4"/>
      <c r="W123" s="4"/>
      <c r="X123" s="4"/>
      <c r="Y123" s="4"/>
      <c r="Z123" s="4"/>
      <c r="AA123" s="4"/>
      <c r="AB123" s="4"/>
    </row>
    <row r="124" spans="1:28" ht="21.75" customHeight="1">
      <c r="A124" s="10"/>
      <c r="B124" s="29"/>
      <c r="C124" s="29"/>
      <c r="E124" s="58">
        <v>599</v>
      </c>
      <c r="F124" s="56" t="s">
        <v>458</v>
      </c>
      <c r="G124" s="57" t="s">
        <v>459</v>
      </c>
      <c r="H124" s="53">
        <v>42205</v>
      </c>
      <c r="I124" s="37" t="str">
        <f t="shared" ca="1" si="3"/>
        <v>10 Y    6 M</v>
      </c>
      <c r="J124" s="11"/>
      <c r="K124" s="69">
        <v>46029</v>
      </c>
      <c r="L124" s="72" t="s">
        <v>140</v>
      </c>
      <c r="M124" s="42"/>
      <c r="N124" s="5" t="s">
        <v>564</v>
      </c>
      <c r="O124" s="6" t="e">
        <f>VLOOKUP(N124,$A$162:$B$172,2,FALSE)</f>
        <v>#N/A</v>
      </c>
      <c r="P124" s="6" t="e">
        <f>VLOOKUP(N124,$A$162:$C$172,3,FALSE)</f>
        <v>#N/A</v>
      </c>
      <c r="Q124" s="84">
        <v>6</v>
      </c>
      <c r="R124" s="40" t="s">
        <v>162</v>
      </c>
      <c r="S124" s="77" t="s">
        <v>137</v>
      </c>
      <c r="T124" s="12" t="s">
        <v>197</v>
      </c>
      <c r="U124" s="4" t="s">
        <v>460</v>
      </c>
      <c r="V124" s="4"/>
      <c r="W124" s="4"/>
      <c r="X124" s="4"/>
      <c r="Y124" s="4"/>
      <c r="Z124" s="4"/>
      <c r="AA124" s="4"/>
      <c r="AB124" s="4"/>
    </row>
    <row r="125" spans="1:28" ht="21.75" customHeight="1">
      <c r="A125" s="10"/>
      <c r="B125" s="29"/>
      <c r="C125" s="29"/>
      <c r="E125" s="58">
        <v>600</v>
      </c>
      <c r="F125" s="56" t="s">
        <v>461</v>
      </c>
      <c r="G125" s="57" t="s">
        <v>462</v>
      </c>
      <c r="H125" s="53">
        <v>41408</v>
      </c>
      <c r="I125" s="37" t="str">
        <f t="shared" ca="1" si="3"/>
        <v>12 Y    8 M</v>
      </c>
      <c r="J125" s="11"/>
      <c r="K125" s="69">
        <v>46029</v>
      </c>
      <c r="L125" s="72" t="s">
        <v>140</v>
      </c>
      <c r="M125" s="42"/>
      <c r="N125" s="5" t="s">
        <v>564</v>
      </c>
      <c r="O125" s="6" t="e">
        <f>VLOOKUP(N125,$A$162:$B$172,2,FALSE)</f>
        <v>#N/A</v>
      </c>
      <c r="P125" s="6" t="e">
        <f>VLOOKUP(N125,$A$162:$C$172,3,FALSE)</f>
        <v>#N/A</v>
      </c>
      <c r="Q125" s="84">
        <v>6</v>
      </c>
      <c r="R125" s="40" t="s">
        <v>162</v>
      </c>
      <c r="S125" s="77" t="s">
        <v>137</v>
      </c>
      <c r="T125" s="12" t="s">
        <v>463</v>
      </c>
      <c r="U125" s="4" t="s">
        <v>464</v>
      </c>
      <c r="V125" s="4"/>
      <c r="W125" s="4"/>
      <c r="X125" s="4"/>
      <c r="Y125" s="4"/>
      <c r="Z125" s="4"/>
      <c r="AA125" s="4"/>
      <c r="AB125" s="4"/>
    </row>
    <row r="126" spans="1:28" ht="21.75" customHeight="1">
      <c r="A126" s="10">
        <v>601</v>
      </c>
      <c r="B126" s="29" t="s">
        <v>259</v>
      </c>
      <c r="C126" s="29"/>
      <c r="E126" s="58">
        <v>601</v>
      </c>
      <c r="F126" s="56" t="s">
        <v>259</v>
      </c>
      <c r="G126" s="57" t="s">
        <v>415</v>
      </c>
      <c r="H126" s="53">
        <v>41246</v>
      </c>
      <c r="I126" s="37" t="str">
        <f t="shared" ca="1" si="3"/>
        <v>13 Y    2 M</v>
      </c>
      <c r="J126" s="11"/>
      <c r="K126" s="69">
        <v>46174</v>
      </c>
      <c r="L126" s="72" t="s">
        <v>140</v>
      </c>
      <c r="M126" s="42"/>
      <c r="N126" s="5">
        <v>1</v>
      </c>
      <c r="O126" s="6" t="str">
        <f>VLOOKUP(N126,$A$162:$B$172,2,FALSE)</f>
        <v>ASH-SHAIKH   FAYZEEN</v>
      </c>
      <c r="P126" s="6" t="str">
        <f>VLOOKUP(N126,$A$162:$C$172,3,FALSE)</f>
        <v>0775020033  / 0761792209</v>
      </c>
      <c r="Q126" s="84">
        <v>9</v>
      </c>
      <c r="R126" s="40" t="s">
        <v>573</v>
      </c>
      <c r="S126" s="77" t="s">
        <v>137</v>
      </c>
      <c r="T126" s="29" t="s">
        <v>416</v>
      </c>
      <c r="U126" s="4" t="s">
        <v>417</v>
      </c>
      <c r="V126" s="4"/>
      <c r="W126" s="4"/>
      <c r="X126" s="4"/>
      <c r="Y126" s="4"/>
      <c r="Z126" s="4"/>
      <c r="AA126" s="4"/>
      <c r="AB126" s="4"/>
    </row>
    <row r="127" spans="1:28" ht="21.75" customHeight="1">
      <c r="A127" s="10"/>
      <c r="B127" s="29"/>
      <c r="C127" s="29"/>
      <c r="E127" s="58">
        <v>602</v>
      </c>
      <c r="F127" s="56" t="s">
        <v>465</v>
      </c>
      <c r="G127" s="57" t="s">
        <v>466</v>
      </c>
      <c r="H127" s="53">
        <v>42069</v>
      </c>
      <c r="I127" s="37" t="str">
        <f t="shared" ca="1" si="3"/>
        <v>10 Y    10 M</v>
      </c>
      <c r="J127" s="11"/>
      <c r="K127" s="69">
        <v>46029</v>
      </c>
      <c r="L127" s="72" t="s">
        <v>140</v>
      </c>
      <c r="M127" s="42"/>
      <c r="N127" s="5" t="s">
        <v>564</v>
      </c>
      <c r="O127" s="6" t="e">
        <f>VLOOKUP(N127,$A$162:$B$172,2,FALSE)</f>
        <v>#N/A</v>
      </c>
      <c r="P127" s="6" t="e">
        <f>VLOOKUP(N127,$A$162:$C$172,3,FALSE)</f>
        <v>#N/A</v>
      </c>
      <c r="Q127" s="84">
        <v>6</v>
      </c>
      <c r="R127" s="40" t="s">
        <v>162</v>
      </c>
      <c r="S127" s="77" t="s">
        <v>137</v>
      </c>
      <c r="T127" s="12" t="s">
        <v>467</v>
      </c>
      <c r="U127" s="4" t="s">
        <v>468</v>
      </c>
      <c r="V127" s="4"/>
      <c r="W127" s="4"/>
      <c r="X127" s="4"/>
      <c r="Y127" s="4"/>
      <c r="Z127" s="4"/>
      <c r="AA127" s="4"/>
      <c r="AB127" s="4"/>
    </row>
    <row r="128" spans="1:28" ht="21.75" customHeight="1">
      <c r="A128" s="10">
        <v>603</v>
      </c>
      <c r="B128" s="29" t="s">
        <v>257</v>
      </c>
      <c r="C128" s="29"/>
      <c r="E128" s="58">
        <v>603</v>
      </c>
      <c r="F128" s="56" t="s">
        <v>257</v>
      </c>
      <c r="G128" s="57" t="s">
        <v>418</v>
      </c>
      <c r="H128" s="53">
        <v>40541</v>
      </c>
      <c r="I128" s="37" t="str">
        <f t="shared" ca="1" si="3"/>
        <v>15 Y    1 M</v>
      </c>
      <c r="J128" s="11"/>
      <c r="K128" s="69">
        <v>46029</v>
      </c>
      <c r="L128" s="72" t="s">
        <v>140</v>
      </c>
      <c r="M128" s="42"/>
      <c r="N128" s="5">
        <v>1</v>
      </c>
      <c r="O128" s="6" t="str">
        <f>VLOOKUP(N128,$A$162:$B$172,2,FALSE)</f>
        <v>ASH-SHAIKH   FAYZEEN</v>
      </c>
      <c r="P128" s="6" t="str">
        <f>VLOOKUP(N128,$A$162:$C$172,3,FALSE)</f>
        <v>0775020033  / 0761792209</v>
      </c>
      <c r="Q128" s="84">
        <v>9</v>
      </c>
      <c r="R128" s="40" t="s">
        <v>573</v>
      </c>
      <c r="S128" s="77" t="s">
        <v>419</v>
      </c>
      <c r="T128" s="29" t="s">
        <v>420</v>
      </c>
      <c r="U128" s="4" t="s">
        <v>421</v>
      </c>
      <c r="V128" s="4"/>
      <c r="W128" s="4"/>
      <c r="X128" s="4"/>
      <c r="Y128" s="4"/>
      <c r="Z128" s="4"/>
      <c r="AA128" s="4"/>
      <c r="AB128" s="4"/>
    </row>
    <row r="129" spans="1:28" ht="21.75" customHeight="1">
      <c r="A129" s="10"/>
      <c r="B129" s="29"/>
      <c r="C129" s="29"/>
      <c r="E129" s="58">
        <v>604</v>
      </c>
      <c r="F129" s="56" t="s">
        <v>469</v>
      </c>
      <c r="G129" s="57" t="s">
        <v>470</v>
      </c>
      <c r="H129" s="53">
        <v>41817</v>
      </c>
      <c r="I129" s="37" t="str">
        <f t="shared" ca="1" si="3"/>
        <v>11 Y    7 M</v>
      </c>
      <c r="J129" s="11"/>
      <c r="K129" s="69">
        <v>46029</v>
      </c>
      <c r="L129" s="72" t="s">
        <v>140</v>
      </c>
      <c r="M129" s="42"/>
      <c r="N129" s="5" t="s">
        <v>564</v>
      </c>
      <c r="O129" s="6" t="e">
        <f>VLOOKUP(N129,$A$162:$B$172,2,FALSE)</f>
        <v>#N/A</v>
      </c>
      <c r="P129" s="6" t="e">
        <f>VLOOKUP(N129,$A$162:$C$172,3,FALSE)</f>
        <v>#N/A</v>
      </c>
      <c r="Q129" s="84">
        <v>6</v>
      </c>
      <c r="R129" s="40" t="s">
        <v>162</v>
      </c>
      <c r="S129" s="77" t="s">
        <v>137</v>
      </c>
      <c r="T129" s="12" t="s">
        <v>471</v>
      </c>
      <c r="U129" s="4" t="s">
        <v>472</v>
      </c>
      <c r="V129" s="4"/>
      <c r="W129" s="4"/>
      <c r="X129" s="4"/>
      <c r="Y129" s="4"/>
      <c r="Z129" s="4"/>
      <c r="AA129" s="4"/>
      <c r="AB129" s="4"/>
    </row>
    <row r="130" spans="1:28" ht="21.75" customHeight="1">
      <c r="A130" s="10"/>
      <c r="B130" s="29"/>
      <c r="C130" s="29"/>
      <c r="E130" s="58">
        <v>605</v>
      </c>
      <c r="F130" s="56" t="s">
        <v>473</v>
      </c>
      <c r="G130" s="57" t="s">
        <v>474</v>
      </c>
      <c r="H130" s="53">
        <v>42146</v>
      </c>
      <c r="I130" s="37" t="str">
        <f t="shared" ca="1" si="3"/>
        <v>10 Y    8 M</v>
      </c>
      <c r="J130" s="11"/>
      <c r="K130" s="69">
        <v>46029</v>
      </c>
      <c r="L130" s="72" t="s">
        <v>140</v>
      </c>
      <c r="M130" s="42"/>
      <c r="N130" s="5" t="s">
        <v>564</v>
      </c>
      <c r="O130" s="6" t="e">
        <f>VLOOKUP(N130,$A$162:$B$172,2,FALSE)</f>
        <v>#N/A</v>
      </c>
      <c r="P130" s="6" t="e">
        <f>VLOOKUP(N130,$A$162:$C$172,3,FALSE)</f>
        <v>#N/A</v>
      </c>
      <c r="Q130" s="84">
        <v>6</v>
      </c>
      <c r="R130" s="40" t="s">
        <v>162</v>
      </c>
      <c r="S130" s="77" t="s">
        <v>137</v>
      </c>
      <c r="T130" s="12" t="s">
        <v>475</v>
      </c>
      <c r="U130" s="4" t="s">
        <v>476</v>
      </c>
      <c r="V130" s="4"/>
      <c r="W130" s="4"/>
      <c r="X130" s="4"/>
      <c r="Y130" s="4"/>
      <c r="Z130" s="4"/>
      <c r="AA130" s="4"/>
      <c r="AB130" s="4"/>
    </row>
    <row r="131" spans="1:28" ht="21.75" customHeight="1">
      <c r="A131" s="10"/>
      <c r="B131" s="29"/>
      <c r="C131" s="29"/>
      <c r="E131" s="58">
        <v>606</v>
      </c>
      <c r="F131" s="56" t="s">
        <v>477</v>
      </c>
      <c r="G131" s="57" t="s">
        <v>478</v>
      </c>
      <c r="H131" s="53">
        <v>41973</v>
      </c>
      <c r="I131" s="37" t="str">
        <f t="shared" ca="1" si="3"/>
        <v>11 Y    2 M</v>
      </c>
      <c r="J131" s="11"/>
      <c r="K131" s="69">
        <v>46029</v>
      </c>
      <c r="L131" s="72" t="s">
        <v>140</v>
      </c>
      <c r="M131" s="42"/>
      <c r="N131" s="5" t="s">
        <v>564</v>
      </c>
      <c r="O131" s="6" t="e">
        <f>VLOOKUP(N131,$A$162:$B$172,2,FALSE)</f>
        <v>#N/A</v>
      </c>
      <c r="P131" s="6" t="e">
        <f>VLOOKUP(N131,$A$162:$C$172,3,FALSE)</f>
        <v>#N/A</v>
      </c>
      <c r="Q131" s="84">
        <v>6</v>
      </c>
      <c r="R131" s="40" t="s">
        <v>162</v>
      </c>
      <c r="S131" s="77" t="s">
        <v>479</v>
      </c>
      <c r="T131" s="12" t="s">
        <v>480</v>
      </c>
      <c r="U131" s="4" t="s">
        <v>481</v>
      </c>
      <c r="V131" s="4"/>
      <c r="W131" s="4"/>
      <c r="X131" s="4"/>
      <c r="Y131" s="4"/>
      <c r="Z131" s="4"/>
      <c r="AA131" s="4"/>
      <c r="AB131" s="4"/>
    </row>
    <row r="132" spans="1:28" ht="21.75" customHeight="1">
      <c r="A132" s="10">
        <v>607</v>
      </c>
      <c r="B132" s="29" t="s">
        <v>258</v>
      </c>
      <c r="C132" s="29"/>
      <c r="E132" s="58">
        <v>607</v>
      </c>
      <c r="F132" s="56" t="s">
        <v>258</v>
      </c>
      <c r="G132" s="57" t="s">
        <v>422</v>
      </c>
      <c r="H132" s="53">
        <v>40738</v>
      </c>
      <c r="I132" s="37" t="str">
        <f t="shared" ca="1" si="3"/>
        <v>14 Y    6 M</v>
      </c>
      <c r="J132" s="11"/>
      <c r="K132" s="69">
        <v>46029</v>
      </c>
      <c r="L132" s="72" t="s">
        <v>140</v>
      </c>
      <c r="M132" s="42"/>
      <c r="N132" s="5">
        <v>1</v>
      </c>
      <c r="O132" s="6" t="str">
        <f>VLOOKUP(N132,$A$162:$B$172,2,FALSE)</f>
        <v>ASH-SHAIKH   FAYZEEN</v>
      </c>
      <c r="P132" s="6" t="str">
        <f>VLOOKUP(N132,$A$162:$C$172,3,FALSE)</f>
        <v>0775020033  / 0761792209</v>
      </c>
      <c r="Q132" s="84">
        <v>9</v>
      </c>
      <c r="R132" s="40" t="s">
        <v>573</v>
      </c>
      <c r="S132" s="77" t="s">
        <v>137</v>
      </c>
      <c r="T132" s="29" t="s">
        <v>423</v>
      </c>
      <c r="U132" s="4" t="s">
        <v>424</v>
      </c>
      <c r="V132" s="4"/>
      <c r="W132" s="4"/>
      <c r="X132" s="4"/>
      <c r="Y132" s="4"/>
      <c r="Z132" s="4"/>
      <c r="AA132" s="4"/>
      <c r="AB132" s="4"/>
    </row>
    <row r="133" spans="1:28" ht="21.75" customHeight="1">
      <c r="A133" s="1"/>
      <c r="B133" s="31"/>
      <c r="C133" s="31"/>
      <c r="E133" s="58">
        <v>608</v>
      </c>
      <c r="F133" s="56" t="s">
        <v>566</v>
      </c>
      <c r="G133" s="67" t="s">
        <v>565</v>
      </c>
      <c r="H133" s="53"/>
      <c r="I133" s="37" t="str">
        <f t="shared" ref="I133:I141" ca="1" si="4">DATEDIF(H133, TODAY(), "Y") &amp; " Y    " &amp; DATEDIF(H133, TODAY(), "YM") &amp; " M"</f>
        <v>126 Y    1 M</v>
      </c>
      <c r="J133" s="11"/>
      <c r="K133" s="69">
        <v>46029</v>
      </c>
      <c r="L133" s="72" t="s">
        <v>140</v>
      </c>
      <c r="M133" s="42"/>
      <c r="N133" s="5" t="s">
        <v>564</v>
      </c>
      <c r="O133" s="6" t="e">
        <f>VLOOKUP(N133,$A$162:$B$172,2,FALSE)</f>
        <v>#N/A</v>
      </c>
      <c r="P133" s="6" t="e">
        <f>VLOOKUP(N133,$A$162:$C$172,3,FALSE)</f>
        <v>#N/A</v>
      </c>
      <c r="Q133" s="84">
        <v>6</v>
      </c>
      <c r="R133" s="40" t="s">
        <v>162</v>
      </c>
      <c r="S133" s="77" t="s">
        <v>137</v>
      </c>
      <c r="T133" s="12" t="s">
        <v>207</v>
      </c>
      <c r="U133" s="4">
        <v>763746327</v>
      </c>
      <c r="V133" s="4"/>
      <c r="W133" s="4"/>
      <c r="X133" s="4"/>
      <c r="Y133" s="4"/>
      <c r="Z133" s="4"/>
      <c r="AA133" s="4"/>
      <c r="AB133" s="4"/>
    </row>
    <row r="134" spans="1:28" ht="21.75" customHeight="1">
      <c r="A134" s="1"/>
      <c r="B134" s="31"/>
      <c r="C134" s="31"/>
      <c r="E134" s="58">
        <v>609</v>
      </c>
      <c r="F134" s="56" t="s">
        <v>482</v>
      </c>
      <c r="G134" s="57" t="s">
        <v>483</v>
      </c>
      <c r="H134" s="53">
        <v>41718</v>
      </c>
      <c r="I134" s="37" t="str">
        <f t="shared" ca="1" si="4"/>
        <v>11 Y    10 M</v>
      </c>
      <c r="J134" s="11"/>
      <c r="K134" s="69">
        <v>46029</v>
      </c>
      <c r="L134" s="72" t="s">
        <v>140</v>
      </c>
      <c r="M134" s="42"/>
      <c r="N134" s="5" t="s">
        <v>564</v>
      </c>
      <c r="O134" s="6" t="e">
        <f>VLOOKUP(N134,$A$162:$B$172,2,FALSE)</f>
        <v>#N/A</v>
      </c>
      <c r="P134" s="6" t="e">
        <f>VLOOKUP(N134,$A$162:$C$172,3,FALSE)</f>
        <v>#N/A</v>
      </c>
      <c r="Q134" s="84">
        <v>6</v>
      </c>
      <c r="R134" s="40" t="s">
        <v>162</v>
      </c>
      <c r="S134" s="77" t="s">
        <v>137</v>
      </c>
      <c r="T134" s="12" t="s">
        <v>167</v>
      </c>
      <c r="U134" s="4" t="s">
        <v>484</v>
      </c>
      <c r="V134" s="4"/>
      <c r="W134" s="4"/>
      <c r="X134" s="4"/>
      <c r="Y134" s="4"/>
      <c r="Z134" s="4"/>
      <c r="AA134" s="4"/>
      <c r="AB134" s="4"/>
    </row>
    <row r="135" spans="1:28" ht="21.75" customHeight="1">
      <c r="A135" s="1"/>
      <c r="B135" s="31"/>
      <c r="C135" s="31"/>
      <c r="E135" s="58">
        <v>610</v>
      </c>
      <c r="F135" s="56" t="s">
        <v>426</v>
      </c>
      <c r="G135" s="57" t="s">
        <v>425</v>
      </c>
      <c r="H135" s="53">
        <v>42396</v>
      </c>
      <c r="I135" s="37" t="str">
        <f t="shared" ca="1" si="4"/>
        <v>10 Y    0 M</v>
      </c>
      <c r="J135" s="11"/>
      <c r="K135" s="69">
        <v>46204</v>
      </c>
      <c r="L135" s="72" t="s">
        <v>140</v>
      </c>
      <c r="M135" s="42"/>
      <c r="N135" s="5" t="s">
        <v>564</v>
      </c>
      <c r="O135" s="6" t="e">
        <f>VLOOKUP(N135,$A$162:$B$172,2,FALSE)</f>
        <v>#N/A</v>
      </c>
      <c r="P135" s="6" t="e">
        <f>VLOOKUP(N135,$A$162:$C$172,3,FALSE)</f>
        <v>#N/A</v>
      </c>
      <c r="Q135" s="84">
        <v>6</v>
      </c>
      <c r="R135" s="40" t="s">
        <v>162</v>
      </c>
      <c r="S135" s="77" t="s">
        <v>137</v>
      </c>
      <c r="T135" s="12" t="s">
        <v>427</v>
      </c>
      <c r="U135" s="4" t="s">
        <v>428</v>
      </c>
      <c r="V135" s="4"/>
      <c r="W135" s="4"/>
      <c r="X135" s="4"/>
      <c r="Y135" s="4"/>
      <c r="Z135" s="4"/>
      <c r="AA135" s="4"/>
      <c r="AB135" s="4"/>
    </row>
    <row r="136" spans="1:28" ht="21.75" customHeight="1">
      <c r="A136" s="1"/>
      <c r="B136" s="31"/>
      <c r="C136" s="31"/>
      <c r="E136" s="58">
        <v>611</v>
      </c>
      <c r="F136" s="56" t="s">
        <v>429</v>
      </c>
      <c r="G136" s="57" t="s">
        <v>430</v>
      </c>
      <c r="H136" s="53">
        <v>42090</v>
      </c>
      <c r="I136" s="37" t="str">
        <f t="shared" ca="1" si="4"/>
        <v>10 Y    10 M</v>
      </c>
      <c r="J136" s="11"/>
      <c r="K136" s="69">
        <v>46204</v>
      </c>
      <c r="L136" s="72" t="s">
        <v>140</v>
      </c>
      <c r="M136" s="42"/>
      <c r="N136" s="5" t="s">
        <v>564</v>
      </c>
      <c r="O136" s="6" t="e">
        <f>VLOOKUP(N136,$A$162:$B$172,2,FALSE)</f>
        <v>#N/A</v>
      </c>
      <c r="P136" s="6" t="e">
        <f>VLOOKUP(N136,$A$162:$C$172,3,FALSE)</f>
        <v>#N/A</v>
      </c>
      <c r="Q136" s="84">
        <v>6</v>
      </c>
      <c r="R136" s="40" t="s">
        <v>162</v>
      </c>
      <c r="S136" s="77" t="s">
        <v>137</v>
      </c>
      <c r="T136" s="12" t="s">
        <v>427</v>
      </c>
      <c r="U136" s="4" t="s">
        <v>428</v>
      </c>
      <c r="V136" s="4"/>
      <c r="W136" s="4"/>
      <c r="X136" s="4"/>
      <c r="Y136" s="4"/>
      <c r="Z136" s="4"/>
      <c r="AA136" s="4"/>
      <c r="AB136" s="4"/>
    </row>
    <row r="137" spans="1:28" ht="21.75" customHeight="1">
      <c r="A137" s="1"/>
      <c r="B137" s="31"/>
      <c r="C137" s="31"/>
      <c r="E137" s="58">
        <v>612</v>
      </c>
      <c r="F137" s="57" t="s">
        <v>431</v>
      </c>
      <c r="G137" s="57" t="s">
        <v>432</v>
      </c>
      <c r="H137" s="53">
        <v>41960</v>
      </c>
      <c r="I137" s="37" t="str">
        <f t="shared" ca="1" si="4"/>
        <v>11 Y    2 M</v>
      </c>
      <c r="J137" s="11"/>
      <c r="K137" s="69">
        <v>46029</v>
      </c>
      <c r="L137" s="72" t="s">
        <v>140</v>
      </c>
      <c r="M137" s="42"/>
      <c r="N137" s="5" t="s">
        <v>564</v>
      </c>
      <c r="O137" s="6" t="e">
        <f>VLOOKUP(N137,$A$162:$B$172,2,FALSE)</f>
        <v>#N/A</v>
      </c>
      <c r="P137" s="6" t="e">
        <f>VLOOKUP(N137,$A$162:$C$172,3,FALSE)</f>
        <v>#N/A</v>
      </c>
      <c r="Q137" s="84">
        <v>6</v>
      </c>
      <c r="R137" s="40" t="s">
        <v>162</v>
      </c>
      <c r="S137" s="77" t="s">
        <v>433</v>
      </c>
      <c r="T137" s="12" t="s">
        <v>438</v>
      </c>
      <c r="U137" s="4">
        <v>0</v>
      </c>
      <c r="V137" s="4"/>
      <c r="W137" s="4"/>
      <c r="X137" s="4"/>
      <c r="Y137" s="4"/>
      <c r="Z137" s="4"/>
      <c r="AA137" s="4"/>
      <c r="AB137" s="4"/>
    </row>
    <row r="138" spans="1:28" ht="21.75" customHeight="1">
      <c r="A138" s="1"/>
      <c r="B138" s="31"/>
      <c r="C138" s="31"/>
      <c r="E138" s="58">
        <v>613</v>
      </c>
      <c r="F138" s="57" t="s">
        <v>439</v>
      </c>
      <c r="G138" s="57" t="s">
        <v>440</v>
      </c>
      <c r="H138" s="53">
        <v>41790</v>
      </c>
      <c r="I138" s="37" t="str">
        <f t="shared" ca="1" si="4"/>
        <v>11 Y    8 M</v>
      </c>
      <c r="J138" s="11"/>
      <c r="K138" s="69">
        <v>46030</v>
      </c>
      <c r="L138" s="72" t="s">
        <v>140</v>
      </c>
      <c r="M138" s="42"/>
      <c r="N138" s="5" t="s">
        <v>564</v>
      </c>
      <c r="O138" s="6" t="e">
        <f>VLOOKUP(N138,$A$162:$B$172,2,FALSE)</f>
        <v>#N/A</v>
      </c>
      <c r="P138" s="6" t="e">
        <f>VLOOKUP(N138,$A$162:$C$172,3,FALSE)</f>
        <v>#N/A</v>
      </c>
      <c r="Q138" s="84">
        <v>6</v>
      </c>
      <c r="R138" s="40" t="s">
        <v>162</v>
      </c>
      <c r="S138" s="77" t="s">
        <v>173</v>
      </c>
      <c r="T138" s="12" t="s">
        <v>441</v>
      </c>
      <c r="U138" s="4" t="s">
        <v>442</v>
      </c>
      <c r="V138" s="4"/>
      <c r="W138" s="4"/>
      <c r="X138" s="4"/>
      <c r="Y138" s="4"/>
      <c r="Z138" s="4"/>
      <c r="AA138" s="4"/>
      <c r="AB138" s="4"/>
    </row>
    <row r="139" spans="1:28" ht="21.75" customHeight="1">
      <c r="A139" s="1"/>
      <c r="B139" s="31"/>
      <c r="C139" s="31"/>
      <c r="E139" s="58">
        <v>614</v>
      </c>
      <c r="F139" s="57" t="s">
        <v>412</v>
      </c>
      <c r="G139" s="57" t="s">
        <v>413</v>
      </c>
      <c r="H139" s="53">
        <v>39148</v>
      </c>
      <c r="I139" s="37" t="str">
        <f t="shared" ca="1" si="4"/>
        <v>18 Y    10 M</v>
      </c>
      <c r="J139" s="11"/>
      <c r="K139" s="53">
        <v>46040</v>
      </c>
      <c r="L139" s="72" t="s">
        <v>140</v>
      </c>
      <c r="M139" s="42"/>
      <c r="N139" s="5">
        <v>1</v>
      </c>
      <c r="O139" s="6" t="str">
        <f>VLOOKUP(N139,$A$162:$B$172,2,FALSE)</f>
        <v>ASH-SHAIKH   FAYZEEN</v>
      </c>
      <c r="P139" s="6" t="str">
        <f>VLOOKUP(N139,$A$162:$C$172,3,FALSE)</f>
        <v>0775020033  / 0761792209</v>
      </c>
      <c r="Q139" s="84" t="s">
        <v>576</v>
      </c>
      <c r="R139" s="40" t="s">
        <v>573</v>
      </c>
      <c r="S139" s="77" t="s">
        <v>433</v>
      </c>
      <c r="T139" s="12" t="s">
        <v>414</v>
      </c>
      <c r="U139" s="4">
        <v>0</v>
      </c>
      <c r="V139" s="4"/>
      <c r="W139" s="4"/>
      <c r="X139" s="4"/>
      <c r="Y139" s="4"/>
      <c r="Z139" s="4"/>
      <c r="AA139" s="4"/>
      <c r="AB139" s="4"/>
    </row>
    <row r="140" spans="1:28" ht="21.75" customHeight="1">
      <c r="A140" s="1"/>
      <c r="B140" s="31"/>
      <c r="C140" s="31"/>
      <c r="E140" s="58">
        <v>615</v>
      </c>
      <c r="F140" s="29" t="s">
        <v>405</v>
      </c>
      <c r="G140" s="57" t="s">
        <v>406</v>
      </c>
      <c r="H140" s="53">
        <v>41037</v>
      </c>
      <c r="I140" s="37" t="str">
        <f t="shared" ca="1" si="4"/>
        <v>13 Y    8 M</v>
      </c>
      <c r="J140" s="11"/>
      <c r="K140" s="53">
        <v>46041</v>
      </c>
      <c r="L140" s="72" t="s">
        <v>140</v>
      </c>
      <c r="M140" s="42"/>
      <c r="N140" s="5">
        <v>1</v>
      </c>
      <c r="O140" s="6" t="str">
        <f>VLOOKUP(N140,$A$162:$B$172,2,FALSE)</f>
        <v>ASH-SHAIKH   FAYZEEN</v>
      </c>
      <c r="P140" s="6" t="str">
        <f>VLOOKUP(N140,$A$162:$C$172,3,FALSE)</f>
        <v>0775020033  / 0761792209</v>
      </c>
      <c r="Q140" s="84">
        <v>9</v>
      </c>
      <c r="R140" s="40" t="s">
        <v>573</v>
      </c>
      <c r="S140" s="77" t="s">
        <v>137</v>
      </c>
      <c r="T140" s="29" t="s">
        <v>408</v>
      </c>
      <c r="U140" s="4" t="s">
        <v>409</v>
      </c>
      <c r="V140" s="29"/>
      <c r="W140" s="29"/>
      <c r="X140" s="29"/>
      <c r="Y140" s="29"/>
      <c r="Z140" s="29"/>
      <c r="AA140" s="29"/>
      <c r="AB140" s="29"/>
    </row>
    <row r="141" spans="1:28" ht="21.75" customHeight="1">
      <c r="A141" s="1"/>
      <c r="B141" s="31"/>
      <c r="C141" s="31"/>
      <c r="E141" s="58">
        <v>616</v>
      </c>
      <c r="F141" s="29" t="s">
        <v>577</v>
      </c>
      <c r="G141" s="6" t="s">
        <v>578</v>
      </c>
      <c r="H141" s="53">
        <v>40915</v>
      </c>
      <c r="I141" s="37" t="str">
        <f t="shared" ca="1" si="4"/>
        <v>14 Y    0 M</v>
      </c>
      <c r="J141" s="11"/>
      <c r="K141" s="53">
        <v>46055</v>
      </c>
      <c r="L141" s="72" t="s">
        <v>140</v>
      </c>
      <c r="M141" s="83"/>
      <c r="N141" s="5">
        <v>1</v>
      </c>
      <c r="O141" s="6" t="str">
        <f>VLOOKUP(N141,$A$162:$B$172,2,FALSE)</f>
        <v>ASH-SHAIKH   FAYZEEN</v>
      </c>
      <c r="P141" s="6" t="str">
        <f>VLOOKUP(N141,$A$162:$C$172,3,FALSE)</f>
        <v>0775020033  / 0761792209</v>
      </c>
      <c r="Q141" s="88">
        <v>9</v>
      </c>
      <c r="R141" s="40" t="s">
        <v>573</v>
      </c>
      <c r="S141" s="77" t="s">
        <v>137</v>
      </c>
      <c r="T141" s="4" t="s">
        <v>579</v>
      </c>
      <c r="U141" s="4" t="s">
        <v>580</v>
      </c>
      <c r="V141" s="4"/>
      <c r="W141" s="4"/>
      <c r="X141" s="4"/>
      <c r="Y141" s="4"/>
      <c r="Z141" s="4"/>
      <c r="AA141" s="4"/>
      <c r="AB141" s="4"/>
    </row>
    <row r="142" spans="1:28" ht="21.75" customHeight="1">
      <c r="A142" s="1"/>
      <c r="B142" s="31"/>
      <c r="C142" s="31"/>
      <c r="E142" s="58">
        <v>617</v>
      </c>
      <c r="F142" s="29"/>
      <c r="G142" s="6"/>
      <c r="H142" s="53"/>
      <c r="I142" s="37"/>
      <c r="J142" s="82"/>
      <c r="K142" s="53"/>
      <c r="L142" s="83"/>
      <c r="M142" s="83"/>
      <c r="N142" s="5"/>
      <c r="O142" s="6"/>
      <c r="P142" s="6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1.75" customHeight="1">
      <c r="A143" s="1"/>
      <c r="B143" s="31"/>
      <c r="C143" s="31"/>
      <c r="E143" s="58">
        <v>618</v>
      </c>
      <c r="F143" s="29"/>
      <c r="G143" s="6"/>
      <c r="H143" s="53"/>
      <c r="I143" s="37"/>
      <c r="J143" s="82"/>
      <c r="K143" s="53"/>
      <c r="L143" s="83"/>
      <c r="M143" s="83"/>
      <c r="N143" s="5"/>
      <c r="O143" s="6"/>
      <c r="P143" s="6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1.75" customHeight="1">
      <c r="A144" s="1"/>
      <c r="B144" s="31"/>
      <c r="C144" s="31"/>
      <c r="E144" s="58">
        <v>619</v>
      </c>
      <c r="F144" s="29"/>
      <c r="G144" s="6"/>
      <c r="H144" s="53"/>
      <c r="I144" s="37"/>
      <c r="J144" s="82"/>
      <c r="K144" s="53"/>
      <c r="L144" s="83"/>
      <c r="M144" s="83"/>
      <c r="N144" s="5"/>
      <c r="O144" s="6"/>
      <c r="P144" s="6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1.75" customHeight="1">
      <c r="A145" s="1"/>
      <c r="B145" s="31"/>
      <c r="C145" s="31"/>
      <c r="E145" s="58">
        <v>620</v>
      </c>
      <c r="F145" s="29"/>
      <c r="G145" s="6"/>
      <c r="H145" s="53"/>
      <c r="I145" s="37"/>
      <c r="J145" s="82"/>
      <c r="K145" s="53"/>
      <c r="L145" s="83"/>
      <c r="M145" s="83"/>
      <c r="N145" s="5"/>
      <c r="O145" s="6"/>
      <c r="P145" s="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1.75" customHeight="1">
      <c r="A146" s="1"/>
      <c r="B146" s="31"/>
      <c r="C146" s="31"/>
      <c r="E146" s="58">
        <v>621</v>
      </c>
      <c r="F146" s="29"/>
      <c r="G146" s="6"/>
      <c r="H146" s="53"/>
      <c r="I146" s="37"/>
      <c r="J146" s="82"/>
      <c r="K146" s="53"/>
      <c r="L146" s="83"/>
      <c r="M146" s="83"/>
      <c r="N146" s="5"/>
      <c r="O146" s="6"/>
      <c r="P146" s="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1.75" customHeight="1">
      <c r="A147" s="1"/>
      <c r="B147" s="31"/>
      <c r="C147" s="31"/>
      <c r="E147" s="58">
        <v>622</v>
      </c>
      <c r="F147" s="29"/>
      <c r="G147" s="6"/>
      <c r="H147" s="53"/>
      <c r="I147" s="37"/>
      <c r="J147" s="82"/>
      <c r="K147" s="53"/>
      <c r="L147" s="83"/>
      <c r="M147" s="83"/>
      <c r="N147" s="5"/>
      <c r="O147" s="6"/>
      <c r="P147" s="6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1.75" customHeight="1">
      <c r="A148" s="1"/>
      <c r="B148" s="31"/>
      <c r="C148" s="31"/>
      <c r="E148" s="58">
        <v>623</v>
      </c>
      <c r="F148" s="29"/>
      <c r="G148" s="6"/>
      <c r="H148" s="53"/>
      <c r="I148" s="37"/>
      <c r="J148" s="82"/>
      <c r="K148" s="53"/>
      <c r="L148" s="83"/>
      <c r="M148" s="83"/>
      <c r="N148" s="5"/>
      <c r="O148" s="6"/>
      <c r="P148" s="6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1.75" customHeight="1">
      <c r="A149" s="1"/>
      <c r="B149" s="31"/>
      <c r="C149" s="31"/>
      <c r="E149" s="58">
        <v>624</v>
      </c>
      <c r="F149" s="29"/>
      <c r="G149" s="6"/>
      <c r="H149" s="53"/>
      <c r="I149" s="37"/>
      <c r="J149" s="82"/>
      <c r="K149" s="53"/>
      <c r="L149" s="83"/>
      <c r="M149" s="83"/>
      <c r="N149" s="5"/>
      <c r="O149" s="6"/>
      <c r="P149" s="6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1.75" customHeight="1">
      <c r="A150" s="1"/>
      <c r="B150" s="31"/>
      <c r="C150" s="31"/>
      <c r="E150" s="58">
        <v>625</v>
      </c>
      <c r="F150" s="29"/>
      <c r="G150" s="6"/>
      <c r="H150" s="53"/>
      <c r="I150" s="37"/>
      <c r="J150" s="82"/>
      <c r="K150" s="53"/>
      <c r="L150" s="83"/>
      <c r="M150" s="83"/>
      <c r="N150" s="5"/>
      <c r="O150" s="6"/>
      <c r="P150" s="6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1.75" customHeight="1">
      <c r="A151" s="1"/>
      <c r="B151" s="31"/>
      <c r="C151" s="31"/>
      <c r="E151" s="58">
        <v>626</v>
      </c>
      <c r="F151" s="29"/>
      <c r="G151" s="6"/>
      <c r="H151" s="53"/>
      <c r="I151" s="37"/>
      <c r="J151" s="82"/>
      <c r="K151" s="53"/>
      <c r="L151" s="83"/>
      <c r="M151" s="83"/>
      <c r="N151" s="5"/>
      <c r="O151" s="6"/>
      <c r="P151" s="6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1.75" customHeight="1">
      <c r="A152" s="1"/>
      <c r="B152" s="31"/>
      <c r="C152" s="31"/>
      <c r="E152" s="58">
        <v>627</v>
      </c>
      <c r="F152" s="29"/>
      <c r="G152" s="6"/>
      <c r="H152" s="53"/>
      <c r="I152" s="37"/>
      <c r="J152" s="82"/>
      <c r="K152" s="53"/>
      <c r="L152" s="83"/>
      <c r="M152" s="83"/>
      <c r="N152" s="5"/>
      <c r="O152" s="6"/>
      <c r="P152" s="6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1.75" customHeight="1">
      <c r="A153" s="1"/>
      <c r="B153" s="31"/>
      <c r="C153" s="31"/>
      <c r="E153" s="58">
        <v>628</v>
      </c>
      <c r="F153" s="29"/>
      <c r="G153" s="6"/>
      <c r="H153" s="53"/>
      <c r="I153" s="37"/>
      <c r="J153" s="82"/>
      <c r="K153" s="53"/>
      <c r="L153" s="83"/>
      <c r="M153" s="83"/>
      <c r="N153" s="5"/>
      <c r="O153" s="6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1.75" customHeight="1">
      <c r="A154" s="1"/>
      <c r="B154" s="31"/>
      <c r="C154" s="31"/>
      <c r="E154" s="58">
        <v>629</v>
      </c>
      <c r="F154" s="29"/>
      <c r="G154" s="6"/>
      <c r="H154" s="53"/>
      <c r="I154" s="37"/>
      <c r="J154" s="82"/>
      <c r="K154" s="53"/>
      <c r="L154" s="83"/>
      <c r="M154" s="83"/>
      <c r="N154" s="5"/>
      <c r="O154" s="6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1.75" customHeight="1">
      <c r="A155" s="1"/>
      <c r="B155" s="31"/>
      <c r="C155" s="31"/>
      <c r="E155" s="58">
        <v>630</v>
      </c>
      <c r="F155" s="29"/>
      <c r="G155" s="6"/>
      <c r="H155" s="53"/>
      <c r="I155" s="37"/>
      <c r="J155" s="82"/>
      <c r="K155" s="53"/>
      <c r="L155" s="83"/>
      <c r="M155" s="83"/>
      <c r="N155" s="5"/>
      <c r="O155" s="6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1.75" customHeight="1">
      <c r="A156" s="1"/>
      <c r="B156" s="31"/>
      <c r="C156" s="31"/>
      <c r="E156" s="1"/>
      <c r="F156" s="31"/>
      <c r="G156" s="32"/>
      <c r="H156" s="32"/>
      <c r="I156" s="32"/>
      <c r="J156" s="41"/>
      <c r="K156" s="41"/>
      <c r="L156" s="33"/>
      <c r="M156" s="33"/>
      <c r="N156" s="34"/>
      <c r="O156" s="32"/>
      <c r="P156" s="32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spans="1:28" ht="21.75" customHeight="1">
      <c r="A157" s="1"/>
      <c r="B157" s="31"/>
      <c r="C157" s="31"/>
      <c r="E157" s="1"/>
      <c r="F157" s="31"/>
      <c r="G157" s="32"/>
      <c r="H157" s="32"/>
      <c r="I157" s="32"/>
      <c r="J157" s="41"/>
      <c r="K157" s="41"/>
      <c r="L157" s="33"/>
      <c r="M157" s="33"/>
      <c r="N157" s="34"/>
      <c r="O157" s="32"/>
      <c r="P157" s="32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spans="1:28" ht="21.75" customHeight="1">
      <c r="A158" s="1"/>
      <c r="B158" s="31"/>
      <c r="C158" s="31"/>
      <c r="E158" s="1"/>
      <c r="F158" s="31"/>
      <c r="G158" s="32"/>
      <c r="H158" s="32"/>
      <c r="I158" s="32"/>
      <c r="J158" s="41"/>
      <c r="K158" s="41"/>
      <c r="L158" s="33"/>
      <c r="M158" s="33"/>
      <c r="N158" s="34"/>
      <c r="O158" s="32"/>
      <c r="P158" s="32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spans="1:28" ht="17.399999999999999">
      <c r="A159" s="1"/>
      <c r="B159" s="31"/>
      <c r="C159" s="31"/>
      <c r="E159" s="1"/>
      <c r="F159" s="31"/>
      <c r="G159" s="32"/>
      <c r="H159" s="32"/>
      <c r="I159" s="32"/>
      <c r="J159" s="41"/>
      <c r="K159" s="41"/>
      <c r="L159" s="33"/>
      <c r="M159" s="33"/>
      <c r="N159" s="34"/>
      <c r="O159" s="32"/>
      <c r="P159" s="32"/>
      <c r="Q159" s="35"/>
      <c r="R159" s="35"/>
      <c r="S159" s="35"/>
      <c r="T159" s="35"/>
      <c r="U159" s="35"/>
    </row>
    <row r="161" spans="1:16" ht="16.5" customHeight="1" thickBot="1">
      <c r="A161" s="7" t="s">
        <v>111</v>
      </c>
      <c r="B161" s="7" t="s">
        <v>112</v>
      </c>
      <c r="N161"/>
      <c r="O161"/>
      <c r="P161"/>
    </row>
    <row r="162" spans="1:16" ht="16.5" customHeight="1" thickBot="1">
      <c r="A162" s="8">
        <v>1</v>
      </c>
      <c r="B162" s="73" t="s">
        <v>567</v>
      </c>
      <c r="C162" s="51" t="s">
        <v>274</v>
      </c>
      <c r="N162"/>
      <c r="O162"/>
      <c r="P162"/>
    </row>
    <row r="163" spans="1:16" ht="16.5" customHeight="1" thickBot="1">
      <c r="A163" s="8">
        <v>2</v>
      </c>
      <c r="B163" s="74" t="s">
        <v>568</v>
      </c>
      <c r="C163" s="51" t="s">
        <v>278</v>
      </c>
      <c r="N163"/>
      <c r="O163"/>
      <c r="P163"/>
    </row>
    <row r="164" spans="1:16" ht="16.5" customHeight="1" thickBot="1">
      <c r="A164" s="8">
        <v>3</v>
      </c>
      <c r="B164" s="74" t="s">
        <v>569</v>
      </c>
      <c r="C164" s="51" t="s">
        <v>280</v>
      </c>
      <c r="N164"/>
      <c r="O164"/>
      <c r="P164"/>
    </row>
    <row r="165" spans="1:16" ht="16.5" customHeight="1" thickBot="1">
      <c r="A165" s="8">
        <v>4</v>
      </c>
      <c r="B165" s="74" t="s">
        <v>570</v>
      </c>
      <c r="C165" s="51" t="s">
        <v>286</v>
      </c>
      <c r="N165"/>
      <c r="O165"/>
      <c r="P165"/>
    </row>
    <row r="166" spans="1:16" ht="16.5" customHeight="1" thickBot="1">
      <c r="A166" s="8">
        <v>5</v>
      </c>
      <c r="B166" s="74" t="s">
        <v>571</v>
      </c>
      <c r="C166" s="52" t="s">
        <v>276</v>
      </c>
      <c r="N166"/>
      <c r="O166"/>
      <c r="P166"/>
    </row>
    <row r="167" spans="1:16" ht="16.5" customHeight="1" thickBot="1">
      <c r="A167" s="8">
        <v>6</v>
      </c>
      <c r="B167" s="74" t="s">
        <v>572</v>
      </c>
      <c r="C167" s="52">
        <v>757296619</v>
      </c>
      <c r="N167"/>
      <c r="O167"/>
      <c r="P167"/>
    </row>
    <row r="168" spans="1:16" ht="16.5" customHeight="1" thickBot="1">
      <c r="A168" s="8">
        <v>7</v>
      </c>
      <c r="B168" s="74" t="s">
        <v>567</v>
      </c>
      <c r="C168" s="51" t="s">
        <v>274</v>
      </c>
      <c r="F168" s="9" t="s">
        <v>303</v>
      </c>
      <c r="G168" s="52" t="s">
        <v>283</v>
      </c>
      <c r="N168"/>
      <c r="O168"/>
      <c r="P168"/>
    </row>
    <row r="169" spans="1:16" ht="18.600000000000001" thickBot="1">
      <c r="F169" s="9" t="s">
        <v>269</v>
      </c>
      <c r="G169" s="49" t="s">
        <v>270</v>
      </c>
      <c r="H169" s="43"/>
    </row>
    <row r="170" spans="1:16" ht="19.2" thickTop="1" thickBot="1">
      <c r="F170" s="9" t="s">
        <v>271</v>
      </c>
      <c r="G170" s="50" t="s">
        <v>272</v>
      </c>
      <c r="H170" s="43"/>
    </row>
    <row r="171" spans="1:16" ht="18.600000000000001" thickBot="1">
      <c r="F171" s="9" t="s">
        <v>273</v>
      </c>
      <c r="G171" s="48" t="s">
        <v>274</v>
      </c>
      <c r="H171" s="43"/>
    </row>
    <row r="172" spans="1:16" ht="18.600000000000001" thickBot="1">
      <c r="F172" s="9" t="s">
        <v>275</v>
      </c>
      <c r="G172" s="47" t="s">
        <v>276</v>
      </c>
      <c r="H172" s="43"/>
    </row>
    <row r="173" spans="1:16" ht="18.600000000000001" thickBot="1">
      <c r="F173" s="9" t="s">
        <v>277</v>
      </c>
      <c r="G173" s="48" t="s">
        <v>278</v>
      </c>
      <c r="H173" s="43"/>
    </row>
    <row r="174" spans="1:16" ht="18.600000000000001" thickBot="1">
      <c r="F174" s="9" t="s">
        <v>279</v>
      </c>
      <c r="G174" s="47" t="s">
        <v>280</v>
      </c>
      <c r="H174" s="43"/>
    </row>
    <row r="175" spans="1:16" ht="18.600000000000001" thickBot="1">
      <c r="F175" s="9" t="s">
        <v>281</v>
      </c>
      <c r="G175" s="48">
        <v>757296619</v>
      </c>
      <c r="H175" s="43"/>
    </row>
    <row r="176" spans="1:16" ht="18.600000000000001" thickBot="1">
      <c r="F176" s="9" t="s">
        <v>282</v>
      </c>
      <c r="G176" s="47" t="s">
        <v>283</v>
      </c>
      <c r="H176" s="43"/>
    </row>
    <row r="177" spans="6:8" ht="18.600000000000001" thickBot="1">
      <c r="F177" s="9" t="s">
        <v>284</v>
      </c>
      <c r="G177" s="48">
        <v>760248829</v>
      </c>
      <c r="H177" s="43"/>
    </row>
    <row r="178" spans="6:8" ht="18.600000000000001" thickBot="1">
      <c r="F178" s="9" t="s">
        <v>285</v>
      </c>
      <c r="G178" s="47" t="s">
        <v>286</v>
      </c>
      <c r="H178" s="43"/>
    </row>
    <row r="179" spans="6:8" ht="18.600000000000001" thickBot="1">
      <c r="F179" s="9" t="s">
        <v>287</v>
      </c>
      <c r="G179" s="48">
        <v>777841551</v>
      </c>
      <c r="H179" s="44"/>
    </row>
    <row r="180" spans="6:8" ht="25.2" thickBot="1">
      <c r="F180" s="94" t="s">
        <v>288</v>
      </c>
      <c r="G180" s="95"/>
      <c r="H180" s="96"/>
    </row>
    <row r="181" spans="6:8" ht="18.600000000000001" thickBot="1">
      <c r="F181" s="46" t="s">
        <v>289</v>
      </c>
      <c r="G181" s="48" t="s">
        <v>290</v>
      </c>
      <c r="H181" s="43"/>
    </row>
    <row r="182" spans="6:8" ht="18.600000000000001" thickBot="1">
      <c r="F182" s="45" t="s">
        <v>291</v>
      </c>
      <c r="G182" s="47" t="s">
        <v>292</v>
      </c>
      <c r="H182" s="43"/>
    </row>
    <row r="183" spans="6:8" ht="18.600000000000001" thickBot="1">
      <c r="F183" s="46" t="s">
        <v>293</v>
      </c>
      <c r="G183" s="48">
        <v>767088358</v>
      </c>
      <c r="H183" s="43"/>
    </row>
    <row r="184" spans="6:8" ht="18.600000000000001" thickBot="1">
      <c r="F184" s="45" t="s">
        <v>294</v>
      </c>
      <c r="G184" s="47">
        <v>769489282</v>
      </c>
      <c r="H184" s="43"/>
    </row>
    <row r="185" spans="6:8" ht="18.600000000000001" thickBot="1">
      <c r="F185" s="46" t="s">
        <v>295</v>
      </c>
      <c r="G185" s="48">
        <v>77235495</v>
      </c>
      <c r="H185" s="43"/>
    </row>
    <row r="186" spans="6:8" ht="18.600000000000001" thickBot="1">
      <c r="F186" s="45" t="s">
        <v>296</v>
      </c>
      <c r="G186" s="47">
        <v>771270788</v>
      </c>
      <c r="H186" s="44"/>
    </row>
    <row r="187" spans="6:8" ht="25.2" thickBot="1">
      <c r="F187" s="97" t="s">
        <v>297</v>
      </c>
      <c r="G187" s="98"/>
      <c r="H187" s="99"/>
    </row>
    <row r="188" spans="6:8" ht="18.600000000000001" thickBot="1">
      <c r="F188" s="45" t="s">
        <v>298</v>
      </c>
      <c r="G188" s="47">
        <v>777930460</v>
      </c>
      <c r="H188" s="43"/>
    </row>
    <row r="189" spans="6:8" ht="18.600000000000001" thickBot="1">
      <c r="F189" s="46" t="s">
        <v>299</v>
      </c>
      <c r="G189" s="48">
        <v>779545051</v>
      </c>
      <c r="H189" s="43"/>
    </row>
    <row r="190" spans="6:8" ht="18.600000000000001" thickBot="1">
      <c r="F190" s="45" t="s">
        <v>300</v>
      </c>
      <c r="G190" s="47">
        <v>773864883</v>
      </c>
      <c r="H190" s="43"/>
    </row>
    <row r="191" spans="6:8" ht="18.600000000000001" thickBot="1">
      <c r="F191" s="46" t="s">
        <v>301</v>
      </c>
      <c r="G191" s="48" t="s">
        <v>302</v>
      </c>
      <c r="H191" s="43"/>
    </row>
  </sheetData>
  <autoFilter ref="A2:AB132" xr:uid="{00000000-0009-0000-0000-000000000000}">
    <sortState xmlns:xlrd2="http://schemas.microsoft.com/office/spreadsheetml/2017/richdata2" ref="A3:AB132">
      <sortCondition ref="E2:E132"/>
    </sortState>
  </autoFilter>
  <mergeCells count="4">
    <mergeCell ref="E1:F1"/>
    <mergeCell ref="A1:C1"/>
    <mergeCell ref="F180:H180"/>
    <mergeCell ref="F187:H187"/>
  </mergeCells>
  <conditionalFormatting sqref="I3:I92">
    <cfRule type="cellIs" dxfId="2" priority="1" operator="greaterThan">
      <formula>"15 y"</formula>
    </cfRule>
  </conditionalFormatting>
  <dataValidations count="4">
    <dataValidation type="list" allowBlank="1" showInputMessage="1" showErrorMessage="1" sqref="AB37" xr:uid="{00000000-0002-0000-0000-000000000000}">
      <formula1>"SHAREEA,HIFZ"</formula1>
    </dataValidation>
    <dataValidation type="list" allowBlank="1" showInputMessage="1" showErrorMessage="1" sqref="T37" xr:uid="{00000000-0002-0000-0000-000001000000}">
      <formula1>"1,2,3,4,5,6,7,HIFL (1),HIFL (2),HIFL(3)"</formula1>
    </dataValidation>
    <dataValidation type="list" allowBlank="1" showInputMessage="1" showErrorMessage="1" sqref="AA37" xr:uid="{00000000-0002-0000-0000-000002000000}">
      <formula1>"KALUTARA,COLOMBO,KEGALLA,HAMPANTHOTA,BALITICALO,MANNAR,PUTTALAM,GAMPAHA,JAFNA,KANDY,TRINCOMALEE,POLANNARUWA,GALLE,MATARA,RATNAPURA"</formula1>
    </dataValidation>
    <dataValidation type="list" allowBlank="1" showInputMessage="1" showErrorMessage="1" sqref="AD37" xr:uid="{00000000-0002-0000-0000-000003000000}">
      <formula1>"YES,NO"</formula1>
    </dataValidation>
  </dataValidations>
  <pageMargins left="0.45833333300000001" right="0.21875" top="0.28125" bottom="0.19791666666666666" header="0.3" footer="0.3"/>
  <pageSetup paperSiz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CA34-4AA9-420C-966D-F8B51AA4AD6D}">
  <dimension ref="A1:Q140"/>
  <sheetViews>
    <sheetView topLeftCell="G1" zoomScale="95" workbookViewId="0">
      <selection activeCell="K2" sqref="K2"/>
    </sheetView>
  </sheetViews>
  <sheetFormatPr defaultRowHeight="14.4"/>
  <cols>
    <col min="1" max="1" width="9" bestFit="1" customWidth="1"/>
    <col min="2" max="2" width="29.88671875" bestFit="1" customWidth="1"/>
    <col min="3" max="3" width="50.88671875" bestFit="1" customWidth="1"/>
    <col min="4" max="4" width="14.6640625" bestFit="1" customWidth="1"/>
    <col min="5" max="5" width="11.77734375" bestFit="1" customWidth="1"/>
    <col min="6" max="6" width="21.88671875" bestFit="1" customWidth="1"/>
    <col min="7" max="7" width="20" customWidth="1"/>
    <col min="8" max="8" width="29.33203125" customWidth="1"/>
    <col min="9" max="9" width="16.44140625" customWidth="1"/>
    <col min="10" max="10" width="9" bestFit="1" customWidth="1"/>
    <col min="11" max="11" width="23.44140625" customWidth="1"/>
    <col min="12" max="12" width="23.21875" customWidth="1"/>
    <col min="13" max="13" width="21.88671875" customWidth="1"/>
    <col min="14" max="14" width="15.109375" bestFit="1" customWidth="1"/>
    <col min="15" max="15" width="18.44140625" bestFit="1" customWidth="1"/>
    <col min="16" max="16" width="85.88671875" bestFit="1" customWidth="1"/>
    <col min="17" max="17" width="50.5546875" bestFit="1" customWidth="1"/>
    <col min="18" max="18" width="12.21875" bestFit="1" customWidth="1"/>
  </cols>
  <sheetData>
    <row r="1" spans="1:17" ht="73.2">
      <c r="A1" s="90" t="s">
        <v>581</v>
      </c>
      <c r="B1" s="91" t="s">
        <v>398</v>
      </c>
      <c r="C1" s="54" t="s">
        <v>399</v>
      </c>
      <c r="D1" s="2" t="s">
        <v>266</v>
      </c>
      <c r="E1" s="2" t="s">
        <v>267</v>
      </c>
      <c r="F1" s="39" t="s">
        <v>264</v>
      </c>
      <c r="G1" s="3" t="s">
        <v>304</v>
      </c>
      <c r="H1" s="71" t="s">
        <v>100</v>
      </c>
      <c r="I1" s="3" t="s">
        <v>113</v>
      </c>
      <c r="J1" s="3" t="s">
        <v>96</v>
      </c>
      <c r="K1" s="3" t="s">
        <v>110</v>
      </c>
      <c r="L1" s="3" t="s">
        <v>268</v>
      </c>
      <c r="M1" s="89" t="s">
        <v>97</v>
      </c>
      <c r="N1" s="54" t="s">
        <v>98</v>
      </c>
      <c r="O1" s="2" t="s">
        <v>99</v>
      </c>
      <c r="P1" s="2" t="s">
        <v>136</v>
      </c>
      <c r="Q1" s="2" t="s">
        <v>265</v>
      </c>
    </row>
    <row r="2" spans="1:17" ht="47.4" customHeight="1">
      <c r="A2" s="55">
        <v>243</v>
      </c>
      <c r="B2" s="56" t="s">
        <v>305</v>
      </c>
      <c r="C2" s="57" t="s">
        <v>306</v>
      </c>
      <c r="D2" s="53">
        <v>36875</v>
      </c>
      <c r="E2" s="37" t="str">
        <f t="shared" ref="E2:E65" ca="1" si="0">DATEDIF(D2, TODAY(), "Y") &amp; " Y    " &amp; DATEDIF(D2, TODAY(), "YM") &amp; " M"</f>
        <v>25 Y    1 M</v>
      </c>
      <c r="F2" s="11">
        <v>200035003262</v>
      </c>
      <c r="G2" s="69"/>
      <c r="H2" s="72" t="s">
        <v>140</v>
      </c>
      <c r="I2" s="42"/>
      <c r="J2" s="5">
        <v>7</v>
      </c>
      <c r="K2" s="6" t="e">
        <f>VLOOKUP(J2,$A$162:$B$179,2,FALSE)</f>
        <v>#N/A</v>
      </c>
      <c r="L2" s="6" t="e">
        <f>VLOOKUP(J2,$A$162:$C$179,3,FALSE)</f>
        <v>#N/A</v>
      </c>
      <c r="M2" s="84"/>
      <c r="N2" s="40" t="s">
        <v>573</v>
      </c>
      <c r="O2" s="77" t="s">
        <v>137</v>
      </c>
      <c r="P2" s="12" t="s">
        <v>139</v>
      </c>
      <c r="Q2" s="4" t="s">
        <v>534</v>
      </c>
    </row>
    <row r="3" spans="1:17" ht="39" customHeight="1">
      <c r="A3" s="55">
        <v>248</v>
      </c>
      <c r="B3" s="56" t="s">
        <v>307</v>
      </c>
      <c r="C3" s="57" t="s">
        <v>308</v>
      </c>
      <c r="D3" s="53">
        <v>37316</v>
      </c>
      <c r="E3" s="37" t="str">
        <f t="shared" ca="1" si="0"/>
        <v>23 Y    11 M</v>
      </c>
      <c r="F3" s="11">
        <v>200206103934</v>
      </c>
      <c r="G3" s="69"/>
      <c r="H3" s="72" t="s">
        <v>140</v>
      </c>
      <c r="I3" s="42"/>
      <c r="J3" s="5">
        <v>7</v>
      </c>
      <c r="K3" s="6" t="e">
        <f>VLOOKUP(J3,$A$162:$B$179,2,FALSE)</f>
        <v>#N/A</v>
      </c>
      <c r="L3" s="6" t="e">
        <f t="shared" ref="L3:L65" si="1">VLOOKUP(J3,$A$162:$C$179,3,FALSE)</f>
        <v>#N/A</v>
      </c>
      <c r="M3" s="84"/>
      <c r="N3" s="40" t="s">
        <v>573</v>
      </c>
      <c r="O3" s="77" t="s">
        <v>137</v>
      </c>
      <c r="P3" s="12" t="s">
        <v>141</v>
      </c>
      <c r="Q3" s="4" t="s">
        <v>535</v>
      </c>
    </row>
    <row r="4" spans="1:17" ht="39" customHeight="1">
      <c r="A4" s="55">
        <v>250</v>
      </c>
      <c r="B4" s="56" t="s">
        <v>309</v>
      </c>
      <c r="C4" s="57" t="s">
        <v>310</v>
      </c>
      <c r="D4" s="53">
        <v>37702</v>
      </c>
      <c r="E4" s="37" t="str">
        <f t="shared" ca="1" si="0"/>
        <v>22 Y    10 M</v>
      </c>
      <c r="F4" s="11">
        <v>200308200369</v>
      </c>
      <c r="G4" s="69"/>
      <c r="H4" s="72" t="s">
        <v>143</v>
      </c>
      <c r="I4" s="42" t="s">
        <v>114</v>
      </c>
      <c r="J4" s="5">
        <v>7</v>
      </c>
      <c r="K4" s="6" t="e">
        <f t="shared" ref="K3:K65" si="2">VLOOKUP(J4,$A$162:$B$179,2,FALSE)</f>
        <v>#N/A</v>
      </c>
      <c r="L4" s="6" t="e">
        <f t="shared" si="1"/>
        <v>#N/A</v>
      </c>
      <c r="M4" s="84"/>
      <c r="N4" s="40" t="s">
        <v>573</v>
      </c>
      <c r="O4" s="77" t="s">
        <v>137</v>
      </c>
      <c r="P4" s="12" t="s">
        <v>142</v>
      </c>
      <c r="Q4" s="4" t="s">
        <v>536</v>
      </c>
    </row>
    <row r="5" spans="1:17" ht="42.6" customHeight="1">
      <c r="A5" s="55">
        <v>325</v>
      </c>
      <c r="B5" s="56" t="s">
        <v>311</v>
      </c>
      <c r="C5" s="57" t="s">
        <v>312</v>
      </c>
      <c r="D5" s="53">
        <v>37891</v>
      </c>
      <c r="E5" s="37" t="str">
        <f t="shared" ca="1" si="0"/>
        <v>22 Y    4 M</v>
      </c>
      <c r="F5" s="11">
        <v>200327113163</v>
      </c>
      <c r="G5" s="69"/>
      <c r="H5" s="72" t="s">
        <v>140</v>
      </c>
      <c r="I5" s="42"/>
      <c r="J5" s="5">
        <v>7</v>
      </c>
      <c r="K5" s="6" t="e">
        <f t="shared" si="2"/>
        <v>#N/A</v>
      </c>
      <c r="L5" s="6" t="e">
        <f t="shared" si="1"/>
        <v>#N/A</v>
      </c>
      <c r="M5" s="84"/>
      <c r="N5" s="40" t="s">
        <v>573</v>
      </c>
      <c r="O5" s="77" t="s">
        <v>144</v>
      </c>
      <c r="P5" s="12" t="s">
        <v>145</v>
      </c>
      <c r="Q5" s="4" t="s">
        <v>537</v>
      </c>
    </row>
    <row r="6" spans="1:17" ht="17.399999999999999">
      <c r="A6" s="55">
        <v>331</v>
      </c>
      <c r="B6" s="56" t="s">
        <v>343</v>
      </c>
      <c r="C6" s="57" t="s">
        <v>344</v>
      </c>
      <c r="D6" s="53">
        <v>38586</v>
      </c>
      <c r="E6" s="37" t="str">
        <f t="shared" ca="1" si="0"/>
        <v>20 Y    5 M</v>
      </c>
      <c r="F6" s="11">
        <v>200522901050</v>
      </c>
      <c r="G6" s="69"/>
      <c r="H6" s="72" t="s">
        <v>140</v>
      </c>
      <c r="I6" s="42"/>
      <c r="J6" s="5">
        <v>4</v>
      </c>
      <c r="K6" s="6" t="e">
        <f t="shared" si="2"/>
        <v>#N/A</v>
      </c>
      <c r="L6" s="6" t="e">
        <f t="shared" si="1"/>
        <v>#N/A</v>
      </c>
      <c r="M6" s="84"/>
      <c r="N6" s="40" t="s">
        <v>573</v>
      </c>
      <c r="O6" s="77" t="s">
        <v>137</v>
      </c>
      <c r="P6" s="12" t="s">
        <v>146</v>
      </c>
      <c r="Q6" s="4">
        <v>0</v>
      </c>
    </row>
    <row r="7" spans="1:17" ht="17.399999999999999">
      <c r="A7" s="55">
        <v>341</v>
      </c>
      <c r="B7" s="56" t="s">
        <v>323</v>
      </c>
      <c r="C7" s="57" t="s">
        <v>324</v>
      </c>
      <c r="D7" s="53">
        <v>38528</v>
      </c>
      <c r="E7" s="37" t="str">
        <f t="shared" ca="1" si="0"/>
        <v>20 Y    7 M</v>
      </c>
      <c r="F7" s="11">
        <v>200517704065</v>
      </c>
      <c r="G7" s="69"/>
      <c r="H7" s="72" t="s">
        <v>140</v>
      </c>
      <c r="I7" s="42"/>
      <c r="J7" s="5">
        <v>5</v>
      </c>
      <c r="K7" s="6" t="e">
        <f t="shared" si="2"/>
        <v>#N/A</v>
      </c>
      <c r="L7" s="6" t="e">
        <f t="shared" si="1"/>
        <v>#N/A</v>
      </c>
      <c r="M7" s="84"/>
      <c r="N7" s="40" t="s">
        <v>573</v>
      </c>
      <c r="O7" s="77" t="s">
        <v>137</v>
      </c>
      <c r="P7" s="12" t="s">
        <v>147</v>
      </c>
      <c r="Q7" s="4">
        <v>772696059</v>
      </c>
    </row>
    <row r="8" spans="1:17" ht="17.399999999999999">
      <c r="A8" s="55">
        <v>342</v>
      </c>
      <c r="B8" s="56" t="s">
        <v>317</v>
      </c>
      <c r="C8" s="57" t="s">
        <v>318</v>
      </c>
      <c r="D8" s="53">
        <v>38519</v>
      </c>
      <c r="E8" s="37" t="str">
        <f t="shared" ca="1" si="0"/>
        <v>20 Y    7 M</v>
      </c>
      <c r="F8" s="11">
        <v>200516803973</v>
      </c>
      <c r="G8" s="69"/>
      <c r="H8" s="72" t="s">
        <v>140</v>
      </c>
      <c r="I8" s="42"/>
      <c r="J8" s="5">
        <v>6</v>
      </c>
      <c r="K8" s="6" t="e">
        <f t="shared" si="2"/>
        <v>#N/A</v>
      </c>
      <c r="L8" s="6" t="e">
        <f t="shared" si="1"/>
        <v>#N/A</v>
      </c>
      <c r="M8" s="84"/>
      <c r="N8" s="40" t="s">
        <v>573</v>
      </c>
      <c r="O8" s="77" t="s">
        <v>137</v>
      </c>
      <c r="P8" s="12" t="s">
        <v>148</v>
      </c>
      <c r="Q8" s="4">
        <v>757510962</v>
      </c>
    </row>
    <row r="9" spans="1:17" ht="17.399999999999999">
      <c r="A9" s="55">
        <v>345</v>
      </c>
      <c r="B9" s="56" t="s">
        <v>319</v>
      </c>
      <c r="C9" s="57" t="s">
        <v>320</v>
      </c>
      <c r="D9" s="53">
        <v>38162</v>
      </c>
      <c r="E9" s="37" t="str">
        <f t="shared" ca="1" si="0"/>
        <v>21 Y    7 M</v>
      </c>
      <c r="F9" s="11">
        <v>200417800580</v>
      </c>
      <c r="G9" s="69"/>
      <c r="H9" s="72" t="s">
        <v>140</v>
      </c>
      <c r="I9" s="42"/>
      <c r="J9" s="5">
        <v>6</v>
      </c>
      <c r="K9" s="6" t="e">
        <f t="shared" si="2"/>
        <v>#N/A</v>
      </c>
      <c r="L9" s="6" t="e">
        <f t="shared" si="1"/>
        <v>#N/A</v>
      </c>
      <c r="M9" s="84"/>
      <c r="N9" s="40" t="s">
        <v>573</v>
      </c>
      <c r="O9" s="77" t="s">
        <v>137</v>
      </c>
      <c r="P9" s="12" t="s">
        <v>149</v>
      </c>
      <c r="Q9" s="4">
        <v>763433801</v>
      </c>
    </row>
    <row r="10" spans="1:17" ht="17.399999999999999">
      <c r="A10" s="55">
        <v>354</v>
      </c>
      <c r="B10" s="56" t="s">
        <v>313</v>
      </c>
      <c r="C10" s="57" t="s">
        <v>314</v>
      </c>
      <c r="D10" s="53">
        <v>37944</v>
      </c>
      <c r="E10" s="37" t="str">
        <f t="shared" ca="1" si="0"/>
        <v>22 Y    2 M</v>
      </c>
      <c r="F10" s="11">
        <v>200332413390</v>
      </c>
      <c r="G10" s="69"/>
      <c r="H10" s="72" t="s">
        <v>140</v>
      </c>
      <c r="I10" s="42"/>
      <c r="J10" s="5">
        <v>7</v>
      </c>
      <c r="K10" s="6" t="e">
        <f t="shared" si="2"/>
        <v>#N/A</v>
      </c>
      <c r="L10" s="6" t="e">
        <f t="shared" si="1"/>
        <v>#N/A</v>
      </c>
      <c r="M10" s="84"/>
      <c r="N10" s="40" t="s">
        <v>573</v>
      </c>
      <c r="O10" s="77" t="s">
        <v>137</v>
      </c>
      <c r="P10" s="12" t="s">
        <v>150</v>
      </c>
      <c r="Q10" s="4" t="s">
        <v>538</v>
      </c>
    </row>
    <row r="11" spans="1:17" ht="17.399999999999999">
      <c r="A11" s="55">
        <v>356</v>
      </c>
      <c r="B11" s="56" t="s">
        <v>325</v>
      </c>
      <c r="C11" s="57" t="s">
        <v>326</v>
      </c>
      <c r="D11" s="53">
        <v>37989</v>
      </c>
      <c r="E11" s="37" t="str">
        <f t="shared" ca="1" si="0"/>
        <v>22 Y    1 M</v>
      </c>
      <c r="F11" s="11">
        <v>200500504225</v>
      </c>
      <c r="G11" s="69"/>
      <c r="H11" s="72" t="s">
        <v>140</v>
      </c>
      <c r="I11" s="42"/>
      <c r="J11" s="5">
        <v>5</v>
      </c>
      <c r="K11" s="6" t="e">
        <f t="shared" si="2"/>
        <v>#N/A</v>
      </c>
      <c r="L11" s="6" t="e">
        <f t="shared" si="1"/>
        <v>#N/A</v>
      </c>
      <c r="M11" s="84"/>
      <c r="N11" s="40" t="s">
        <v>573</v>
      </c>
      <c r="O11" s="77" t="s">
        <v>151</v>
      </c>
      <c r="P11" s="12" t="s">
        <v>152</v>
      </c>
      <c r="Q11" s="4">
        <v>755093414</v>
      </c>
    </row>
    <row r="12" spans="1:17" ht="17.399999999999999">
      <c r="A12" s="55">
        <v>363</v>
      </c>
      <c r="B12" s="56" t="s">
        <v>327</v>
      </c>
      <c r="C12" s="57" t="s">
        <v>328</v>
      </c>
      <c r="D12" s="53">
        <v>39056</v>
      </c>
      <c r="E12" s="37" t="str">
        <f t="shared" ca="1" si="0"/>
        <v>19 Y    2 M</v>
      </c>
      <c r="F12" s="11">
        <v>200634005227</v>
      </c>
      <c r="G12" s="69"/>
      <c r="H12" s="72" t="s">
        <v>140</v>
      </c>
      <c r="I12" s="42"/>
      <c r="J12" s="5">
        <v>5</v>
      </c>
      <c r="K12" s="6" t="e">
        <f t="shared" si="2"/>
        <v>#N/A</v>
      </c>
      <c r="L12" s="6" t="e">
        <f t="shared" si="1"/>
        <v>#N/A</v>
      </c>
      <c r="M12" s="84"/>
      <c r="N12" s="40" t="s">
        <v>573</v>
      </c>
      <c r="O12" s="77" t="s">
        <v>137</v>
      </c>
      <c r="P12" s="12" t="s">
        <v>153</v>
      </c>
      <c r="Q12" s="4">
        <v>757510962</v>
      </c>
    </row>
    <row r="13" spans="1:17" ht="17.399999999999999">
      <c r="A13" s="55">
        <v>371</v>
      </c>
      <c r="B13" s="56" t="s">
        <v>329</v>
      </c>
      <c r="C13" s="57" t="s">
        <v>330</v>
      </c>
      <c r="D13" s="53">
        <v>38485</v>
      </c>
      <c r="E13" s="37" t="str">
        <f t="shared" ca="1" si="0"/>
        <v>20 Y    8 M</v>
      </c>
      <c r="F13" s="11">
        <v>200513404923</v>
      </c>
      <c r="G13" s="69"/>
      <c r="H13" s="72" t="s">
        <v>140</v>
      </c>
      <c r="I13" s="42"/>
      <c r="J13" s="5">
        <v>5</v>
      </c>
      <c r="K13" s="6" t="e">
        <f t="shared" si="2"/>
        <v>#N/A</v>
      </c>
      <c r="L13" s="6" t="e">
        <f t="shared" si="1"/>
        <v>#N/A</v>
      </c>
      <c r="M13" s="84"/>
      <c r="N13" s="40" t="s">
        <v>573</v>
      </c>
      <c r="O13" s="77" t="s">
        <v>137</v>
      </c>
      <c r="P13" s="12" t="s">
        <v>154</v>
      </c>
      <c r="Q13" s="4">
        <v>758978987</v>
      </c>
    </row>
    <row r="14" spans="1:17" ht="17.399999999999999">
      <c r="A14" s="55">
        <v>381</v>
      </c>
      <c r="B14" s="56" t="s">
        <v>331</v>
      </c>
      <c r="C14" s="57" t="s">
        <v>332</v>
      </c>
      <c r="D14" s="53">
        <v>38629</v>
      </c>
      <c r="E14" s="37" t="str">
        <f t="shared" ca="1" si="0"/>
        <v>20 Y    4 M</v>
      </c>
      <c r="F14" s="11">
        <v>200527805087</v>
      </c>
      <c r="G14" s="69"/>
      <c r="H14" s="72" t="s">
        <v>140</v>
      </c>
      <c r="I14" s="42"/>
      <c r="J14" s="5">
        <v>5</v>
      </c>
      <c r="K14" s="6" t="e">
        <f t="shared" si="2"/>
        <v>#N/A</v>
      </c>
      <c r="L14" s="6" t="e">
        <f t="shared" si="1"/>
        <v>#N/A</v>
      </c>
      <c r="M14" s="84"/>
      <c r="N14" s="40" t="s">
        <v>573</v>
      </c>
      <c r="O14" s="77" t="s">
        <v>137</v>
      </c>
      <c r="P14" s="12" t="s">
        <v>155</v>
      </c>
      <c r="Q14" s="4">
        <v>775205760</v>
      </c>
    </row>
    <row r="15" spans="1:17" ht="17.399999999999999">
      <c r="A15" s="55">
        <v>383</v>
      </c>
      <c r="B15" s="56" t="s">
        <v>321</v>
      </c>
      <c r="C15" s="57" t="s">
        <v>322</v>
      </c>
      <c r="D15" s="53">
        <v>38768</v>
      </c>
      <c r="E15" s="37" t="str">
        <f t="shared" ca="1" si="0"/>
        <v>19 Y    11 M</v>
      </c>
      <c r="F15" s="11">
        <v>200605100127</v>
      </c>
      <c r="G15" s="69"/>
      <c r="H15" s="72" t="s">
        <v>140</v>
      </c>
      <c r="I15" s="42"/>
      <c r="J15" s="5">
        <v>6</v>
      </c>
      <c r="K15" s="6" t="e">
        <f t="shared" si="2"/>
        <v>#N/A</v>
      </c>
      <c r="L15" s="6" t="e">
        <f t="shared" si="1"/>
        <v>#N/A</v>
      </c>
      <c r="M15" s="84"/>
      <c r="N15" s="40" t="s">
        <v>573</v>
      </c>
      <c r="O15" s="77" t="s">
        <v>137</v>
      </c>
      <c r="P15" s="12" t="s">
        <v>156</v>
      </c>
      <c r="Q15" s="4">
        <v>770646880</v>
      </c>
    </row>
    <row r="16" spans="1:17" ht="17.399999999999999">
      <c r="A16" s="55">
        <v>384</v>
      </c>
      <c r="B16" s="56" t="s">
        <v>333</v>
      </c>
      <c r="C16" s="57" t="s">
        <v>334</v>
      </c>
      <c r="D16" s="53">
        <v>38806</v>
      </c>
      <c r="E16" s="37" t="str">
        <f t="shared" ca="1" si="0"/>
        <v>19 Y    10 M</v>
      </c>
      <c r="F16" s="11">
        <v>200626301569</v>
      </c>
      <c r="G16" s="69"/>
      <c r="H16" s="72" t="s">
        <v>140</v>
      </c>
      <c r="I16" s="42"/>
      <c r="J16" s="5">
        <v>5</v>
      </c>
      <c r="K16" s="6" t="e">
        <f t="shared" si="2"/>
        <v>#N/A</v>
      </c>
      <c r="L16" s="6" t="e">
        <f t="shared" si="1"/>
        <v>#N/A</v>
      </c>
      <c r="M16" s="84"/>
      <c r="N16" s="40" t="s">
        <v>573</v>
      </c>
      <c r="O16" s="77" t="s">
        <v>157</v>
      </c>
      <c r="P16" s="12" t="s">
        <v>158</v>
      </c>
      <c r="Q16" s="4">
        <v>754743743</v>
      </c>
    </row>
    <row r="17" spans="1:17" ht="17.399999999999999">
      <c r="A17" s="55">
        <v>404</v>
      </c>
      <c r="B17" s="56" t="s">
        <v>335</v>
      </c>
      <c r="C17" s="57" t="s">
        <v>336</v>
      </c>
      <c r="D17" s="53">
        <v>39070</v>
      </c>
      <c r="E17" s="37" t="str">
        <f t="shared" ca="1" si="0"/>
        <v>19 Y    1 M</v>
      </c>
      <c r="F17" s="11">
        <v>200635404723</v>
      </c>
      <c r="G17" s="69"/>
      <c r="H17" s="72" t="s">
        <v>140</v>
      </c>
      <c r="I17" s="42"/>
      <c r="J17" s="5">
        <v>5</v>
      </c>
      <c r="K17" s="6" t="e">
        <f t="shared" si="2"/>
        <v>#N/A</v>
      </c>
      <c r="L17" s="6" t="e">
        <f t="shared" si="1"/>
        <v>#N/A</v>
      </c>
      <c r="M17" s="84"/>
      <c r="N17" s="40" t="s">
        <v>573</v>
      </c>
      <c r="O17" s="77" t="s">
        <v>137</v>
      </c>
      <c r="P17" s="12" t="s">
        <v>159</v>
      </c>
      <c r="Q17" s="4">
        <v>764001178</v>
      </c>
    </row>
    <row r="18" spans="1:17" ht="17.399999999999999">
      <c r="A18" s="55">
        <v>408</v>
      </c>
      <c r="B18" s="56" t="s">
        <v>345</v>
      </c>
      <c r="C18" s="57" t="s">
        <v>346</v>
      </c>
      <c r="D18" s="53">
        <v>39814</v>
      </c>
      <c r="E18" s="37" t="str">
        <f t="shared" ca="1" si="0"/>
        <v>17 Y    1 M</v>
      </c>
      <c r="F18" s="11">
        <v>200900102814</v>
      </c>
      <c r="G18" s="69"/>
      <c r="H18" s="72" t="s">
        <v>140</v>
      </c>
      <c r="I18" s="42"/>
      <c r="J18" s="5">
        <v>4</v>
      </c>
      <c r="K18" s="6" t="e">
        <f t="shared" si="2"/>
        <v>#N/A</v>
      </c>
      <c r="L18" s="6" t="e">
        <f t="shared" si="1"/>
        <v>#N/A</v>
      </c>
      <c r="M18" s="84"/>
      <c r="N18" s="40" t="s">
        <v>573</v>
      </c>
      <c r="O18" s="77" t="s">
        <v>137</v>
      </c>
      <c r="P18" s="12">
        <v>0</v>
      </c>
      <c r="Q18" s="4">
        <v>777434380</v>
      </c>
    </row>
    <row r="19" spans="1:17" ht="17.399999999999999">
      <c r="A19" s="55">
        <v>410</v>
      </c>
      <c r="B19" s="56" t="s">
        <v>337</v>
      </c>
      <c r="C19" s="57" t="s">
        <v>338</v>
      </c>
      <c r="D19" s="53">
        <v>37364</v>
      </c>
      <c r="E19" s="37" t="str">
        <f t="shared" ca="1" si="0"/>
        <v>23 Y    9 M</v>
      </c>
      <c r="F19" s="11">
        <v>200210910466</v>
      </c>
      <c r="G19" s="69"/>
      <c r="H19" s="72" t="s">
        <v>140</v>
      </c>
      <c r="I19" s="42"/>
      <c r="J19" s="5">
        <v>5</v>
      </c>
      <c r="K19" s="6" t="e">
        <f t="shared" si="2"/>
        <v>#N/A</v>
      </c>
      <c r="L19" s="6" t="e">
        <f t="shared" si="1"/>
        <v>#N/A</v>
      </c>
      <c r="M19" s="84"/>
      <c r="N19" s="40" t="s">
        <v>573</v>
      </c>
      <c r="O19" s="77" t="s">
        <v>137</v>
      </c>
      <c r="P19" s="12" t="s">
        <v>160</v>
      </c>
      <c r="Q19" s="4" t="s">
        <v>539</v>
      </c>
    </row>
    <row r="20" spans="1:17" ht="17.399999999999999">
      <c r="A20" s="55">
        <v>413</v>
      </c>
      <c r="B20" s="56" t="s">
        <v>347</v>
      </c>
      <c r="C20" s="57" t="s">
        <v>348</v>
      </c>
      <c r="D20" s="53">
        <v>38744</v>
      </c>
      <c r="E20" s="37" t="str">
        <f t="shared" ca="1" si="0"/>
        <v>20 Y    0 M</v>
      </c>
      <c r="F20" s="11">
        <v>200602704679</v>
      </c>
      <c r="G20" s="69"/>
      <c r="H20" s="72" t="s">
        <v>140</v>
      </c>
      <c r="I20" s="42"/>
      <c r="J20" s="5">
        <v>4</v>
      </c>
      <c r="K20" s="6" t="e">
        <f t="shared" si="2"/>
        <v>#N/A</v>
      </c>
      <c r="L20" s="6" t="e">
        <f t="shared" si="1"/>
        <v>#N/A</v>
      </c>
      <c r="M20" s="84"/>
      <c r="N20" s="40" t="s">
        <v>573</v>
      </c>
      <c r="O20" s="77" t="s">
        <v>137</v>
      </c>
      <c r="P20" s="12" t="s">
        <v>161</v>
      </c>
      <c r="Q20" s="4">
        <v>775332539</v>
      </c>
    </row>
    <row r="21" spans="1:17" ht="17.399999999999999">
      <c r="A21" s="55">
        <v>420</v>
      </c>
      <c r="B21" s="56" t="s">
        <v>361</v>
      </c>
      <c r="C21" s="57" t="s">
        <v>362</v>
      </c>
      <c r="D21" s="53">
        <v>39239</v>
      </c>
      <c r="E21" s="37" t="str">
        <f t="shared" ca="1" si="0"/>
        <v>18 Y    7 M</v>
      </c>
      <c r="F21" s="11">
        <v>200716502128</v>
      </c>
      <c r="G21" s="69"/>
      <c r="H21" s="72" t="s">
        <v>140</v>
      </c>
      <c r="I21" s="42"/>
      <c r="J21" s="5">
        <v>3</v>
      </c>
      <c r="K21" s="6" t="e">
        <f t="shared" si="2"/>
        <v>#N/A</v>
      </c>
      <c r="L21" s="6" t="e">
        <f t="shared" si="1"/>
        <v>#N/A</v>
      </c>
      <c r="M21" s="84"/>
      <c r="N21" s="40" t="s">
        <v>573</v>
      </c>
      <c r="O21" s="77" t="s">
        <v>137</v>
      </c>
      <c r="P21" s="12" t="s">
        <v>163</v>
      </c>
      <c r="Q21" s="4">
        <v>756308746</v>
      </c>
    </row>
    <row r="22" spans="1:17" ht="17.399999999999999">
      <c r="A22" s="55">
        <v>426</v>
      </c>
      <c r="B22" s="56" t="s">
        <v>363</v>
      </c>
      <c r="C22" s="57" t="s">
        <v>364</v>
      </c>
      <c r="D22" s="53">
        <v>39491</v>
      </c>
      <c r="E22" s="37" t="str">
        <f t="shared" ca="1" si="0"/>
        <v>17 Y    11 M</v>
      </c>
      <c r="F22" s="11">
        <v>200804400842</v>
      </c>
      <c r="G22" s="69"/>
      <c r="H22" s="72" t="s">
        <v>140</v>
      </c>
      <c r="I22" s="42"/>
      <c r="J22" s="5">
        <v>3</v>
      </c>
      <c r="K22" s="6" t="e">
        <f t="shared" si="2"/>
        <v>#N/A</v>
      </c>
      <c r="L22" s="6" t="e">
        <f t="shared" si="1"/>
        <v>#N/A</v>
      </c>
      <c r="M22" s="84"/>
      <c r="N22" s="40" t="s">
        <v>573</v>
      </c>
      <c r="O22" s="77" t="s">
        <v>137</v>
      </c>
      <c r="P22" s="12" t="s">
        <v>164</v>
      </c>
      <c r="Q22" s="4">
        <v>775513799</v>
      </c>
    </row>
    <row r="23" spans="1:17" ht="17.399999999999999">
      <c r="A23" s="55">
        <v>429</v>
      </c>
      <c r="B23" s="56" t="s">
        <v>315</v>
      </c>
      <c r="C23" s="57" t="s">
        <v>316</v>
      </c>
      <c r="D23" s="53">
        <v>38811</v>
      </c>
      <c r="E23" s="37" t="str">
        <f t="shared" ca="1" si="0"/>
        <v>19 Y    10 M</v>
      </c>
      <c r="F23" s="11">
        <v>200509505560</v>
      </c>
      <c r="G23" s="69"/>
      <c r="H23" s="72" t="s">
        <v>143</v>
      </c>
      <c r="I23" s="42" t="s">
        <v>114</v>
      </c>
      <c r="J23" s="5">
        <v>7</v>
      </c>
      <c r="K23" s="6" t="e">
        <f t="shared" si="2"/>
        <v>#N/A</v>
      </c>
      <c r="L23" s="6" t="e">
        <f t="shared" si="1"/>
        <v>#N/A</v>
      </c>
      <c r="M23" s="84"/>
      <c r="N23" s="40" t="s">
        <v>573</v>
      </c>
      <c r="O23" s="77" t="s">
        <v>137</v>
      </c>
      <c r="P23" s="12" t="s">
        <v>165</v>
      </c>
      <c r="Q23" s="4" t="s">
        <v>540</v>
      </c>
    </row>
    <row r="24" spans="1:17" ht="17.399999999999999">
      <c r="A24" s="55">
        <v>430</v>
      </c>
      <c r="B24" s="56" t="s">
        <v>365</v>
      </c>
      <c r="C24" s="57" t="s">
        <v>366</v>
      </c>
      <c r="D24" s="53">
        <v>39833</v>
      </c>
      <c r="E24" s="37" t="str">
        <f t="shared" ca="1" si="0"/>
        <v>17 Y    0 M</v>
      </c>
      <c r="F24" s="11"/>
      <c r="G24" s="69"/>
      <c r="H24" s="72" t="s">
        <v>140</v>
      </c>
      <c r="I24" s="42"/>
      <c r="J24" s="5">
        <v>3</v>
      </c>
      <c r="K24" s="6" t="e">
        <f t="shared" si="2"/>
        <v>#N/A</v>
      </c>
      <c r="L24" s="6" t="e">
        <f t="shared" si="1"/>
        <v>#N/A</v>
      </c>
      <c r="M24" s="84"/>
      <c r="N24" s="40" t="s">
        <v>573</v>
      </c>
      <c r="O24" s="77" t="s">
        <v>137</v>
      </c>
      <c r="P24" s="12" t="s">
        <v>166</v>
      </c>
      <c r="Q24" s="4">
        <v>771402747</v>
      </c>
    </row>
    <row r="25" spans="1:17" ht="17.399999999999999">
      <c r="A25" s="55">
        <v>431</v>
      </c>
      <c r="B25" s="56" t="s">
        <v>367</v>
      </c>
      <c r="C25" s="57" t="s">
        <v>368</v>
      </c>
      <c r="D25" s="53">
        <v>40119</v>
      </c>
      <c r="E25" s="37" t="str">
        <f t="shared" ca="1" si="0"/>
        <v>16 Y    3 M</v>
      </c>
      <c r="F25" s="11">
        <v>200630701248</v>
      </c>
      <c r="G25" s="69"/>
      <c r="H25" s="72" t="s">
        <v>140</v>
      </c>
      <c r="I25" s="42"/>
      <c r="J25" s="5">
        <v>3</v>
      </c>
      <c r="K25" s="6" t="e">
        <f t="shared" si="2"/>
        <v>#N/A</v>
      </c>
      <c r="L25" s="6" t="e">
        <f t="shared" si="1"/>
        <v>#N/A</v>
      </c>
      <c r="M25" s="84"/>
      <c r="N25" s="40" t="s">
        <v>573</v>
      </c>
      <c r="O25" s="77" t="s">
        <v>137</v>
      </c>
      <c r="P25" s="12" t="s">
        <v>167</v>
      </c>
      <c r="Q25" s="4">
        <v>771638348</v>
      </c>
    </row>
    <row r="26" spans="1:17" ht="17.399999999999999">
      <c r="A26" s="55">
        <v>433</v>
      </c>
      <c r="B26" s="56" t="s">
        <v>369</v>
      </c>
      <c r="C26" s="57" t="s">
        <v>370</v>
      </c>
      <c r="D26" s="53">
        <v>39760</v>
      </c>
      <c r="E26" s="37" t="str">
        <f t="shared" ca="1" si="0"/>
        <v>17 Y    2 M</v>
      </c>
      <c r="F26" s="11">
        <v>200831301360</v>
      </c>
      <c r="G26" s="69"/>
      <c r="H26" s="72" t="s">
        <v>140</v>
      </c>
      <c r="I26" s="42"/>
      <c r="J26" s="5">
        <v>3</v>
      </c>
      <c r="K26" s="6" t="e">
        <f t="shared" si="2"/>
        <v>#N/A</v>
      </c>
      <c r="L26" s="6" t="e">
        <f t="shared" si="1"/>
        <v>#N/A</v>
      </c>
      <c r="M26" s="84"/>
      <c r="N26" s="40" t="s">
        <v>573</v>
      </c>
      <c r="O26" s="77" t="s">
        <v>137</v>
      </c>
      <c r="P26" s="12" t="s">
        <v>168</v>
      </c>
      <c r="Q26" s="4">
        <v>774898376</v>
      </c>
    </row>
    <row r="27" spans="1:17" ht="17.399999999999999">
      <c r="A27" s="55">
        <v>437</v>
      </c>
      <c r="B27" s="56" t="s">
        <v>371</v>
      </c>
      <c r="C27" s="57" t="s">
        <v>372</v>
      </c>
      <c r="D27" s="53">
        <v>39516</v>
      </c>
      <c r="E27" s="37" t="str">
        <f t="shared" ca="1" si="0"/>
        <v>17 Y    10 M</v>
      </c>
      <c r="F27" s="11"/>
      <c r="G27" s="69"/>
      <c r="H27" s="72" t="s">
        <v>143</v>
      </c>
      <c r="I27" s="42" t="s">
        <v>114</v>
      </c>
      <c r="J27" s="5">
        <v>3</v>
      </c>
      <c r="K27" s="6" t="e">
        <f t="shared" si="2"/>
        <v>#N/A</v>
      </c>
      <c r="L27" s="6" t="e">
        <f t="shared" si="1"/>
        <v>#N/A</v>
      </c>
      <c r="M27" s="84"/>
      <c r="N27" s="40" t="s">
        <v>573</v>
      </c>
      <c r="O27" s="77" t="s">
        <v>137</v>
      </c>
      <c r="P27" s="12" t="s">
        <v>169</v>
      </c>
      <c r="Q27" s="4">
        <v>770781870</v>
      </c>
    </row>
    <row r="28" spans="1:17" ht="17.399999999999999">
      <c r="A28" s="55">
        <v>441</v>
      </c>
      <c r="B28" s="56" t="s">
        <v>311</v>
      </c>
      <c r="C28" s="57" t="s">
        <v>373</v>
      </c>
      <c r="D28" s="53">
        <v>39256</v>
      </c>
      <c r="E28" s="37" t="str">
        <f t="shared" ca="1" si="0"/>
        <v>18 Y    7 M</v>
      </c>
      <c r="F28" s="11">
        <v>200717501681</v>
      </c>
      <c r="G28" s="69"/>
      <c r="H28" s="72" t="s">
        <v>140</v>
      </c>
      <c r="I28" s="42"/>
      <c r="J28" s="5">
        <v>3</v>
      </c>
      <c r="K28" s="6" t="e">
        <f t="shared" si="2"/>
        <v>#N/A</v>
      </c>
      <c r="L28" s="6" t="e">
        <f t="shared" si="1"/>
        <v>#N/A</v>
      </c>
      <c r="M28" s="84"/>
      <c r="N28" s="40" t="s">
        <v>573</v>
      </c>
      <c r="O28" s="77" t="s">
        <v>137</v>
      </c>
      <c r="P28" s="12" t="s">
        <v>170</v>
      </c>
      <c r="Q28" s="4">
        <v>772084496</v>
      </c>
    </row>
    <row r="29" spans="1:17" ht="17.399999999999999">
      <c r="A29" s="55">
        <v>443</v>
      </c>
      <c r="B29" s="56" t="s">
        <v>374</v>
      </c>
      <c r="C29" s="57" t="s">
        <v>375</v>
      </c>
      <c r="D29" s="53">
        <v>39348</v>
      </c>
      <c r="E29" s="37" t="str">
        <f t="shared" ca="1" si="0"/>
        <v>18 Y    4 M</v>
      </c>
      <c r="F29" s="11">
        <v>200726703935</v>
      </c>
      <c r="G29" s="69"/>
      <c r="H29" s="72" t="s">
        <v>140</v>
      </c>
      <c r="I29" s="42"/>
      <c r="J29" s="5">
        <v>3</v>
      </c>
      <c r="K29" s="6" t="e">
        <f t="shared" si="2"/>
        <v>#N/A</v>
      </c>
      <c r="L29" s="6" t="e">
        <f t="shared" si="1"/>
        <v>#N/A</v>
      </c>
      <c r="M29" s="84"/>
      <c r="N29" s="40" t="s">
        <v>573</v>
      </c>
      <c r="O29" s="77" t="s">
        <v>137</v>
      </c>
      <c r="P29" s="12" t="s">
        <v>171</v>
      </c>
      <c r="Q29" s="4">
        <v>775939246</v>
      </c>
    </row>
    <row r="30" spans="1:17" ht="17.399999999999999">
      <c r="A30" s="55">
        <v>449</v>
      </c>
      <c r="B30" s="56" t="s">
        <v>376</v>
      </c>
      <c r="C30" s="57" t="s">
        <v>377</v>
      </c>
      <c r="D30" s="53">
        <v>39472</v>
      </c>
      <c r="E30" s="37" t="str">
        <f t="shared" ca="1" si="0"/>
        <v>18 Y    0 M</v>
      </c>
      <c r="F30" s="11">
        <v>200802504674</v>
      </c>
      <c r="G30" s="69"/>
      <c r="H30" s="72" t="s">
        <v>140</v>
      </c>
      <c r="I30" s="42"/>
      <c r="J30" s="5">
        <v>3</v>
      </c>
      <c r="K30" s="6" t="e">
        <f t="shared" si="2"/>
        <v>#N/A</v>
      </c>
      <c r="L30" s="6" t="e">
        <f t="shared" si="1"/>
        <v>#N/A</v>
      </c>
      <c r="M30" s="84"/>
      <c r="N30" s="40" t="s">
        <v>573</v>
      </c>
      <c r="O30" s="77" t="s">
        <v>137</v>
      </c>
      <c r="P30" s="12" t="s">
        <v>172</v>
      </c>
      <c r="Q30" s="4">
        <v>756089311</v>
      </c>
    </row>
    <row r="31" spans="1:17" ht="17.399999999999999">
      <c r="A31" s="55">
        <v>451</v>
      </c>
      <c r="B31" s="56" t="s">
        <v>378</v>
      </c>
      <c r="C31" s="57" t="s">
        <v>379</v>
      </c>
      <c r="D31" s="53">
        <v>39302</v>
      </c>
      <c r="E31" s="37" t="str">
        <f t="shared" ca="1" si="0"/>
        <v>18 Y    5 M</v>
      </c>
      <c r="F31" s="11">
        <v>200722105104</v>
      </c>
      <c r="G31" s="69"/>
      <c r="H31" s="72" t="s">
        <v>140</v>
      </c>
      <c r="I31" s="42"/>
      <c r="J31" s="5">
        <v>3</v>
      </c>
      <c r="K31" s="6" t="e">
        <f t="shared" si="2"/>
        <v>#N/A</v>
      </c>
      <c r="L31" s="6" t="e">
        <f t="shared" si="1"/>
        <v>#N/A</v>
      </c>
      <c r="M31" s="84"/>
      <c r="N31" s="40" t="s">
        <v>573</v>
      </c>
      <c r="O31" s="77" t="s">
        <v>173</v>
      </c>
      <c r="P31" s="12" t="s">
        <v>174</v>
      </c>
      <c r="Q31" s="4">
        <v>779662465</v>
      </c>
    </row>
    <row r="32" spans="1:17" ht="17.399999999999999">
      <c r="A32" s="55">
        <v>452</v>
      </c>
      <c r="B32" s="56" t="s">
        <v>380</v>
      </c>
      <c r="C32" s="57" t="s">
        <v>381</v>
      </c>
      <c r="D32" s="53">
        <v>39583</v>
      </c>
      <c r="E32" s="37" t="str">
        <f t="shared" ca="1" si="0"/>
        <v>17 Y    8 M</v>
      </c>
      <c r="F32" s="11">
        <v>200813603833</v>
      </c>
      <c r="G32" s="69"/>
      <c r="H32" s="72" t="s">
        <v>140</v>
      </c>
      <c r="I32" s="42"/>
      <c r="J32" s="5">
        <v>3</v>
      </c>
      <c r="K32" s="6" t="e">
        <f t="shared" si="2"/>
        <v>#N/A</v>
      </c>
      <c r="L32" s="6" t="e">
        <f t="shared" si="1"/>
        <v>#N/A</v>
      </c>
      <c r="M32" s="84"/>
      <c r="N32" s="40" t="s">
        <v>573</v>
      </c>
      <c r="O32" s="77" t="s">
        <v>137</v>
      </c>
      <c r="P32" s="12" t="s">
        <v>175</v>
      </c>
      <c r="Q32" s="4">
        <v>770454761</v>
      </c>
    </row>
    <row r="33" spans="1:17" ht="17.399999999999999">
      <c r="A33" s="55">
        <v>454</v>
      </c>
      <c r="B33" s="56" t="s">
        <v>382</v>
      </c>
      <c r="C33" s="57" t="s">
        <v>383</v>
      </c>
      <c r="D33" s="53">
        <v>39496</v>
      </c>
      <c r="E33" s="37" t="str">
        <f t="shared" ca="1" si="0"/>
        <v>17 Y    11 M</v>
      </c>
      <c r="F33" s="11"/>
      <c r="G33" s="69"/>
      <c r="H33" s="72" t="s">
        <v>140</v>
      </c>
      <c r="I33" s="42"/>
      <c r="J33" s="5">
        <v>3</v>
      </c>
      <c r="K33" s="6" t="e">
        <f t="shared" si="2"/>
        <v>#N/A</v>
      </c>
      <c r="L33" s="6" t="e">
        <f t="shared" si="1"/>
        <v>#N/A</v>
      </c>
      <c r="M33" s="84"/>
      <c r="N33" s="40" t="s">
        <v>573</v>
      </c>
      <c r="O33" s="77" t="s">
        <v>137</v>
      </c>
      <c r="P33" s="12" t="s">
        <v>176</v>
      </c>
      <c r="Q33" s="4">
        <v>756395948</v>
      </c>
    </row>
    <row r="34" spans="1:17" ht="17.399999999999999">
      <c r="A34" s="55">
        <v>455</v>
      </c>
      <c r="B34" s="56" t="s">
        <v>339</v>
      </c>
      <c r="C34" s="57" t="s">
        <v>340</v>
      </c>
      <c r="D34" s="53">
        <v>38597</v>
      </c>
      <c r="E34" s="37" t="str">
        <f t="shared" ca="1" si="0"/>
        <v>20 Y    5 M</v>
      </c>
      <c r="F34" s="11">
        <v>200524600862</v>
      </c>
      <c r="G34" s="69"/>
      <c r="H34" s="72" t="s">
        <v>140</v>
      </c>
      <c r="I34" s="42"/>
      <c r="J34" s="5">
        <v>5</v>
      </c>
      <c r="K34" s="6" t="e">
        <f t="shared" si="2"/>
        <v>#N/A</v>
      </c>
      <c r="L34" s="6" t="e">
        <f t="shared" si="1"/>
        <v>#N/A</v>
      </c>
      <c r="M34" s="84"/>
      <c r="N34" s="40" t="s">
        <v>573</v>
      </c>
      <c r="O34" s="77" t="s">
        <v>137</v>
      </c>
      <c r="P34" s="12" t="s">
        <v>177</v>
      </c>
      <c r="Q34" s="4">
        <v>771248524</v>
      </c>
    </row>
    <row r="35" spans="1:17" ht="17.399999999999999">
      <c r="A35" s="55">
        <v>458</v>
      </c>
      <c r="B35" s="56" t="s">
        <v>341</v>
      </c>
      <c r="C35" s="57" t="s">
        <v>342</v>
      </c>
      <c r="D35" s="53">
        <v>38616</v>
      </c>
      <c r="E35" s="37" t="str">
        <f t="shared" ca="1" si="0"/>
        <v>20 Y    4 M</v>
      </c>
      <c r="F35" s="11">
        <v>200526504063</v>
      </c>
      <c r="G35" s="69"/>
      <c r="H35" s="72" t="s">
        <v>140</v>
      </c>
      <c r="I35" s="42"/>
      <c r="J35" s="5">
        <v>5</v>
      </c>
      <c r="K35" s="36" t="e">
        <f t="shared" si="2"/>
        <v>#N/A</v>
      </c>
      <c r="L35" s="6" t="e">
        <f t="shared" si="1"/>
        <v>#N/A</v>
      </c>
      <c r="M35" s="84"/>
      <c r="N35" s="40" t="s">
        <v>573</v>
      </c>
      <c r="O35" s="77" t="s">
        <v>137</v>
      </c>
      <c r="P35" s="12" t="s">
        <v>178</v>
      </c>
      <c r="Q35" s="4">
        <v>759904501</v>
      </c>
    </row>
    <row r="36" spans="1:17" ht="17.399999999999999">
      <c r="A36" s="55">
        <v>459</v>
      </c>
      <c r="B36" s="65" t="s">
        <v>34</v>
      </c>
      <c r="C36" s="66" t="s">
        <v>180</v>
      </c>
      <c r="D36" s="53">
        <v>40463</v>
      </c>
      <c r="E36" s="37" t="str">
        <f t="shared" ca="1" si="0"/>
        <v>15 Y    3 M</v>
      </c>
      <c r="F36" s="11"/>
      <c r="G36" s="69"/>
      <c r="H36" s="72" t="s">
        <v>140</v>
      </c>
      <c r="I36" s="42"/>
      <c r="J36" s="5">
        <v>1</v>
      </c>
      <c r="K36" s="36" t="e">
        <f t="shared" si="2"/>
        <v>#N/A</v>
      </c>
      <c r="L36" s="6" t="e">
        <f t="shared" si="1"/>
        <v>#N/A</v>
      </c>
      <c r="M36" s="85"/>
      <c r="N36" s="40" t="s">
        <v>573</v>
      </c>
      <c r="O36" s="77" t="s">
        <v>137</v>
      </c>
      <c r="P36" s="12" t="s">
        <v>181</v>
      </c>
      <c r="Q36" s="4">
        <v>778535209</v>
      </c>
    </row>
    <row r="37" spans="1:17" ht="17.399999999999999">
      <c r="A37" s="55">
        <v>461</v>
      </c>
      <c r="B37" s="65" t="s">
        <v>35</v>
      </c>
      <c r="C37" s="66" t="s">
        <v>182</v>
      </c>
      <c r="D37" s="53">
        <v>40938</v>
      </c>
      <c r="E37" s="37" t="str">
        <f t="shared" ca="1" si="0"/>
        <v>14 Y    0 M</v>
      </c>
      <c r="F37" s="11"/>
      <c r="G37" s="69"/>
      <c r="H37" s="72" t="s">
        <v>140</v>
      </c>
      <c r="I37" s="42"/>
      <c r="J37" s="5">
        <v>1</v>
      </c>
      <c r="K37" s="6" t="e">
        <f t="shared" si="2"/>
        <v>#N/A</v>
      </c>
      <c r="L37" s="6" t="e">
        <f t="shared" si="1"/>
        <v>#N/A</v>
      </c>
      <c r="M37" s="84"/>
      <c r="N37" s="40" t="s">
        <v>573</v>
      </c>
      <c r="O37" s="77" t="s">
        <v>137</v>
      </c>
      <c r="P37" s="12" t="s">
        <v>183</v>
      </c>
      <c r="Q37" s="4">
        <v>752109278</v>
      </c>
    </row>
    <row r="38" spans="1:17" ht="17.399999999999999">
      <c r="A38" s="55">
        <v>462</v>
      </c>
      <c r="B38" s="65" t="s">
        <v>36</v>
      </c>
      <c r="C38" s="66" t="s">
        <v>184</v>
      </c>
      <c r="D38" s="53">
        <v>40565</v>
      </c>
      <c r="E38" s="37" t="str">
        <f t="shared" ca="1" si="0"/>
        <v>15 Y    0 M</v>
      </c>
      <c r="F38" s="11"/>
      <c r="G38" s="69"/>
      <c r="H38" s="72" t="s">
        <v>140</v>
      </c>
      <c r="I38" s="42"/>
      <c r="J38" s="5">
        <v>2</v>
      </c>
      <c r="K38" s="6" t="e">
        <f t="shared" si="2"/>
        <v>#N/A</v>
      </c>
      <c r="L38" s="6" t="e">
        <f t="shared" si="1"/>
        <v>#N/A</v>
      </c>
      <c r="M38" s="84"/>
      <c r="N38" s="40" t="s">
        <v>573</v>
      </c>
      <c r="O38" s="77" t="s">
        <v>137</v>
      </c>
      <c r="P38" s="12" t="s">
        <v>185</v>
      </c>
      <c r="Q38" s="4">
        <v>770456458</v>
      </c>
    </row>
    <row r="39" spans="1:17" ht="17.399999999999999">
      <c r="A39" s="55">
        <v>467</v>
      </c>
      <c r="B39" s="68" t="s">
        <v>529</v>
      </c>
      <c r="C39" s="67" t="s">
        <v>528</v>
      </c>
      <c r="D39" s="53">
        <v>40033</v>
      </c>
      <c r="E39" s="37" t="str">
        <f t="shared" ca="1" si="0"/>
        <v>16 Y    5 M</v>
      </c>
      <c r="F39" s="11">
        <v>200922103493</v>
      </c>
      <c r="G39" s="69"/>
      <c r="H39" s="72" t="s">
        <v>140</v>
      </c>
      <c r="I39" s="42"/>
      <c r="J39" s="5">
        <v>2</v>
      </c>
      <c r="K39" s="6" t="e">
        <f t="shared" si="2"/>
        <v>#N/A</v>
      </c>
      <c r="L39" s="6" t="e">
        <f t="shared" si="1"/>
        <v>#N/A</v>
      </c>
      <c r="M39" s="84"/>
      <c r="N39" s="40" t="s">
        <v>573</v>
      </c>
      <c r="O39" s="77" t="s">
        <v>157</v>
      </c>
      <c r="P39" s="12" t="s">
        <v>185</v>
      </c>
      <c r="Q39" s="4" t="s">
        <v>541</v>
      </c>
    </row>
    <row r="40" spans="1:17" ht="17.399999999999999">
      <c r="A40" s="55">
        <v>468</v>
      </c>
      <c r="B40" s="65" t="s">
        <v>38</v>
      </c>
      <c r="C40" s="66" t="s">
        <v>186</v>
      </c>
      <c r="D40" s="53">
        <v>39931</v>
      </c>
      <c r="E40" s="37" t="str">
        <f t="shared" ca="1" si="0"/>
        <v>16 Y    9 M</v>
      </c>
      <c r="F40" s="11"/>
      <c r="G40" s="69"/>
      <c r="H40" s="72" t="s">
        <v>140</v>
      </c>
      <c r="I40" s="42"/>
      <c r="J40" s="5">
        <v>1</v>
      </c>
      <c r="K40" s="6" t="e">
        <f t="shared" si="2"/>
        <v>#N/A</v>
      </c>
      <c r="L40" s="6" t="e">
        <f t="shared" si="1"/>
        <v>#N/A</v>
      </c>
      <c r="M40" s="84"/>
      <c r="N40" s="40" t="s">
        <v>573</v>
      </c>
      <c r="O40" s="77" t="s">
        <v>137</v>
      </c>
      <c r="P40" s="12" t="s">
        <v>187</v>
      </c>
      <c r="Q40" s="4">
        <v>771352534</v>
      </c>
    </row>
    <row r="41" spans="1:17" ht="17.399999999999999">
      <c r="A41" s="55">
        <v>469</v>
      </c>
      <c r="B41" s="65" t="s">
        <v>39</v>
      </c>
      <c r="C41" s="66" t="s">
        <v>188</v>
      </c>
      <c r="D41" s="53">
        <v>40101</v>
      </c>
      <c r="E41" s="37" t="str">
        <f t="shared" ca="1" si="0"/>
        <v>16 Y    3 M</v>
      </c>
      <c r="F41" s="11"/>
      <c r="G41" s="69"/>
      <c r="H41" s="72" t="s">
        <v>143</v>
      </c>
      <c r="I41" s="42" t="s">
        <v>114</v>
      </c>
      <c r="J41" s="5">
        <v>1</v>
      </c>
      <c r="K41" s="6" t="e">
        <f t="shared" si="2"/>
        <v>#N/A</v>
      </c>
      <c r="L41" s="6" t="e">
        <f t="shared" si="1"/>
        <v>#N/A</v>
      </c>
      <c r="M41" s="84"/>
      <c r="N41" s="40" t="s">
        <v>573</v>
      </c>
      <c r="O41" s="77" t="s">
        <v>137</v>
      </c>
      <c r="P41" s="12" t="s">
        <v>187</v>
      </c>
      <c r="Q41" s="4">
        <v>771352534</v>
      </c>
    </row>
    <row r="42" spans="1:17" ht="17.399999999999999">
      <c r="A42" s="55">
        <v>470</v>
      </c>
      <c r="B42" s="65" t="s">
        <v>40</v>
      </c>
      <c r="C42" s="66" t="s">
        <v>179</v>
      </c>
      <c r="D42" s="53">
        <v>40149</v>
      </c>
      <c r="E42" s="37" t="str">
        <f t="shared" ca="1" si="0"/>
        <v>16 Y    2 M</v>
      </c>
      <c r="F42" s="11"/>
      <c r="G42" s="69"/>
      <c r="H42" s="72" t="s">
        <v>143</v>
      </c>
      <c r="I42" s="42" t="s">
        <v>114</v>
      </c>
      <c r="J42" s="5">
        <v>2</v>
      </c>
      <c r="K42" s="6" t="e">
        <f t="shared" si="2"/>
        <v>#N/A</v>
      </c>
      <c r="L42" s="6" t="e">
        <f t="shared" si="1"/>
        <v>#N/A</v>
      </c>
      <c r="M42" s="84"/>
      <c r="N42" s="40" t="s">
        <v>573</v>
      </c>
      <c r="O42" s="77" t="s">
        <v>137</v>
      </c>
      <c r="P42" s="12" t="s">
        <v>187</v>
      </c>
      <c r="Q42" s="4">
        <v>777983629</v>
      </c>
    </row>
    <row r="43" spans="1:17" ht="17.399999999999999">
      <c r="A43" s="55">
        <v>471</v>
      </c>
      <c r="B43" s="68" t="s">
        <v>485</v>
      </c>
      <c r="C43" s="67" t="s">
        <v>486</v>
      </c>
      <c r="D43" s="53">
        <v>40436</v>
      </c>
      <c r="E43" s="37" t="str">
        <f t="shared" ca="1" si="0"/>
        <v>15 Y    4 M</v>
      </c>
      <c r="F43" s="11"/>
      <c r="G43" s="69">
        <v>44573</v>
      </c>
      <c r="H43" s="72" t="s">
        <v>140</v>
      </c>
      <c r="I43" s="42"/>
      <c r="J43" s="5" t="s">
        <v>135</v>
      </c>
      <c r="K43" s="6" t="e">
        <f t="shared" si="2"/>
        <v>#N/A</v>
      </c>
      <c r="L43" s="6" t="e">
        <f t="shared" si="1"/>
        <v>#N/A</v>
      </c>
      <c r="M43" s="84"/>
      <c r="N43" s="40" t="s">
        <v>162</v>
      </c>
      <c r="O43" s="77" t="s">
        <v>137</v>
      </c>
      <c r="P43" s="12" t="s">
        <v>189</v>
      </c>
      <c r="Q43" s="4">
        <v>715888005</v>
      </c>
    </row>
    <row r="44" spans="1:17" ht="17.399999999999999">
      <c r="A44" s="55">
        <v>472</v>
      </c>
      <c r="B44" s="65" t="s">
        <v>531</v>
      </c>
      <c r="C44" s="66" t="s">
        <v>530</v>
      </c>
      <c r="D44" s="53">
        <v>40005</v>
      </c>
      <c r="E44" s="37" t="str">
        <f t="shared" ca="1" si="0"/>
        <v>16 Y    6 M</v>
      </c>
      <c r="F44" s="11"/>
      <c r="G44" s="69"/>
      <c r="H44" s="72" t="s">
        <v>140</v>
      </c>
      <c r="I44" s="42"/>
      <c r="J44" s="5">
        <v>1</v>
      </c>
      <c r="K44" s="6" t="e">
        <f t="shared" si="2"/>
        <v>#N/A</v>
      </c>
      <c r="L44" s="6" t="e">
        <f t="shared" si="1"/>
        <v>#N/A</v>
      </c>
      <c r="M44" s="84"/>
      <c r="N44" s="40" t="s">
        <v>573</v>
      </c>
      <c r="O44" s="77" t="s">
        <v>137</v>
      </c>
      <c r="P44" s="29"/>
      <c r="Q44" s="4">
        <v>770430884</v>
      </c>
    </row>
    <row r="45" spans="1:17" ht="17.399999999999999">
      <c r="A45" s="55">
        <v>475</v>
      </c>
      <c r="B45" s="65" t="s">
        <v>533</v>
      </c>
      <c r="C45" s="66" t="s">
        <v>532</v>
      </c>
      <c r="D45" s="53">
        <v>40818</v>
      </c>
      <c r="E45" s="37" t="str">
        <f t="shared" ca="1" si="0"/>
        <v>14 Y    4 M</v>
      </c>
      <c r="F45" s="11"/>
      <c r="G45" s="69">
        <v>44619</v>
      </c>
      <c r="H45" s="72" t="s">
        <v>140</v>
      </c>
      <c r="I45" s="42"/>
      <c r="J45" s="5" t="s">
        <v>101</v>
      </c>
      <c r="K45" s="6" t="e">
        <f t="shared" si="2"/>
        <v>#N/A</v>
      </c>
      <c r="L45" s="6" t="e">
        <f t="shared" si="1"/>
        <v>#N/A</v>
      </c>
      <c r="M45" s="84"/>
      <c r="N45" s="40" t="s">
        <v>162</v>
      </c>
      <c r="O45" s="77"/>
      <c r="P45" s="12"/>
      <c r="Q45" s="4"/>
    </row>
    <row r="46" spans="1:17" ht="17.399999999999999">
      <c r="A46" s="55">
        <v>477</v>
      </c>
      <c r="B46" s="65" t="s">
        <v>44</v>
      </c>
      <c r="C46" s="66" t="s">
        <v>190</v>
      </c>
      <c r="D46" s="53">
        <v>40483</v>
      </c>
      <c r="E46" s="37" t="str">
        <f t="shared" ca="1" si="0"/>
        <v>15 Y    3 M</v>
      </c>
      <c r="F46" s="11"/>
      <c r="G46" s="69"/>
      <c r="H46" s="72" t="s">
        <v>143</v>
      </c>
      <c r="I46" s="42" t="s">
        <v>115</v>
      </c>
      <c r="J46" s="5">
        <v>1</v>
      </c>
      <c r="K46" s="6" t="e">
        <f t="shared" si="2"/>
        <v>#N/A</v>
      </c>
      <c r="L46" s="6" t="e">
        <f t="shared" si="1"/>
        <v>#N/A</v>
      </c>
      <c r="M46" s="84"/>
      <c r="N46" s="40" t="s">
        <v>573</v>
      </c>
      <c r="O46" s="77" t="s">
        <v>137</v>
      </c>
      <c r="P46" s="12" t="s">
        <v>191</v>
      </c>
      <c r="Q46" s="4">
        <v>772828632</v>
      </c>
    </row>
    <row r="47" spans="1:17" ht="17.399999999999999">
      <c r="A47" s="55">
        <v>479</v>
      </c>
      <c r="B47" s="65" t="s">
        <v>45</v>
      </c>
      <c r="C47" s="66" t="s">
        <v>192</v>
      </c>
      <c r="D47" s="53">
        <v>40700</v>
      </c>
      <c r="E47" s="37" t="str">
        <f t="shared" ca="1" si="0"/>
        <v>14 Y    7 M</v>
      </c>
      <c r="F47" s="11"/>
      <c r="G47" s="69"/>
      <c r="H47" s="72" t="s">
        <v>140</v>
      </c>
      <c r="I47" s="42"/>
      <c r="J47" s="5">
        <v>1</v>
      </c>
      <c r="K47" s="6" t="e">
        <f t="shared" si="2"/>
        <v>#N/A</v>
      </c>
      <c r="L47" s="6" t="e">
        <f t="shared" si="1"/>
        <v>#N/A</v>
      </c>
      <c r="M47" s="84"/>
      <c r="N47" s="40" t="s">
        <v>573</v>
      </c>
      <c r="O47" s="77" t="s">
        <v>137</v>
      </c>
      <c r="P47" s="12" t="s">
        <v>164</v>
      </c>
      <c r="Q47" s="4" t="s">
        <v>542</v>
      </c>
    </row>
    <row r="48" spans="1:17" ht="17.399999999999999">
      <c r="A48" s="55">
        <v>480</v>
      </c>
      <c r="B48" s="65" t="s">
        <v>46</v>
      </c>
      <c r="C48" s="66" t="s">
        <v>193</v>
      </c>
      <c r="D48" s="53">
        <v>40471</v>
      </c>
      <c r="E48" s="37" t="str">
        <f t="shared" ca="1" si="0"/>
        <v>15 Y    3 M</v>
      </c>
      <c r="F48" s="11"/>
      <c r="G48" s="69">
        <v>44573</v>
      </c>
      <c r="H48" s="72" t="s">
        <v>140</v>
      </c>
      <c r="I48" s="42"/>
      <c r="J48" s="5" t="s">
        <v>102</v>
      </c>
      <c r="K48" s="6" t="e">
        <f t="shared" si="2"/>
        <v>#N/A</v>
      </c>
      <c r="L48" s="6" t="e">
        <f t="shared" si="1"/>
        <v>#N/A</v>
      </c>
      <c r="M48" s="84"/>
      <c r="N48" s="40" t="s">
        <v>162</v>
      </c>
      <c r="O48" s="77" t="s">
        <v>137</v>
      </c>
      <c r="P48" s="12" t="s">
        <v>194</v>
      </c>
      <c r="Q48" s="4" t="s">
        <v>543</v>
      </c>
    </row>
    <row r="49" spans="1:17" ht="17.399999999999999">
      <c r="A49" s="55">
        <v>481</v>
      </c>
      <c r="B49" s="65" t="s">
        <v>47</v>
      </c>
      <c r="C49" s="66" t="s">
        <v>195</v>
      </c>
      <c r="D49" s="53">
        <v>40817</v>
      </c>
      <c r="E49" s="37" t="str">
        <f t="shared" ca="1" si="0"/>
        <v>14 Y    4 M</v>
      </c>
      <c r="F49" s="11"/>
      <c r="G49" s="69">
        <v>44710</v>
      </c>
      <c r="H49" s="72" t="s">
        <v>140</v>
      </c>
      <c r="I49" s="42"/>
      <c r="J49" s="5" t="s">
        <v>102</v>
      </c>
      <c r="K49" s="6" t="e">
        <f t="shared" si="2"/>
        <v>#N/A</v>
      </c>
      <c r="L49" s="6" t="e">
        <f t="shared" si="1"/>
        <v>#N/A</v>
      </c>
      <c r="M49" s="84"/>
      <c r="N49" s="40" t="s">
        <v>162</v>
      </c>
      <c r="O49" s="77" t="s">
        <v>137</v>
      </c>
      <c r="P49" s="12" t="s">
        <v>196</v>
      </c>
      <c r="Q49" s="4">
        <v>774303166</v>
      </c>
    </row>
    <row r="50" spans="1:17" ht="17.399999999999999">
      <c r="A50" s="55">
        <v>482</v>
      </c>
      <c r="B50" s="65" t="s">
        <v>48</v>
      </c>
      <c r="C50" s="66" t="s">
        <v>193</v>
      </c>
      <c r="D50" s="53">
        <v>41089</v>
      </c>
      <c r="E50" s="37" t="str">
        <f t="shared" ca="1" si="0"/>
        <v>13 Y    7 M</v>
      </c>
      <c r="F50" s="11"/>
      <c r="G50" s="69">
        <v>44710</v>
      </c>
      <c r="H50" s="72" t="s">
        <v>140</v>
      </c>
      <c r="I50" s="42"/>
      <c r="J50" s="5" t="s">
        <v>102</v>
      </c>
      <c r="K50" s="6" t="e">
        <f t="shared" si="2"/>
        <v>#N/A</v>
      </c>
      <c r="L50" s="6" t="e">
        <f t="shared" si="1"/>
        <v>#N/A</v>
      </c>
      <c r="M50" s="84"/>
      <c r="N50" s="40" t="s">
        <v>162</v>
      </c>
      <c r="O50" s="77" t="s">
        <v>137</v>
      </c>
      <c r="P50" s="12" t="s">
        <v>197</v>
      </c>
      <c r="Q50" s="4" t="s">
        <v>544</v>
      </c>
    </row>
    <row r="51" spans="1:17" ht="17.399999999999999">
      <c r="A51" s="55">
        <v>483</v>
      </c>
      <c r="B51" s="68" t="s">
        <v>488</v>
      </c>
      <c r="C51" s="67" t="s">
        <v>487</v>
      </c>
      <c r="D51" s="53">
        <v>40210</v>
      </c>
      <c r="E51" s="37" t="str">
        <f t="shared" ca="1" si="0"/>
        <v>16 Y    0 M</v>
      </c>
      <c r="F51" s="11">
        <v>201003200911</v>
      </c>
      <c r="G51" s="69">
        <v>44710</v>
      </c>
      <c r="H51" s="72" t="s">
        <v>140</v>
      </c>
      <c r="I51" s="42"/>
      <c r="J51" s="5" t="s">
        <v>135</v>
      </c>
      <c r="K51" s="6" t="e">
        <f t="shared" si="2"/>
        <v>#N/A</v>
      </c>
      <c r="L51" s="6" t="e">
        <f t="shared" si="1"/>
        <v>#N/A</v>
      </c>
      <c r="M51" s="84"/>
      <c r="N51" s="40" t="s">
        <v>162</v>
      </c>
      <c r="O51" s="77" t="s">
        <v>137</v>
      </c>
      <c r="P51" s="12" t="s">
        <v>198</v>
      </c>
      <c r="Q51" s="4">
        <v>775332539</v>
      </c>
    </row>
    <row r="52" spans="1:17" ht="17.399999999999999">
      <c r="A52" s="55">
        <v>484</v>
      </c>
      <c r="B52" s="65" t="s">
        <v>50</v>
      </c>
      <c r="C52" s="66" t="s">
        <v>199</v>
      </c>
      <c r="D52" s="53">
        <v>40389</v>
      </c>
      <c r="E52" s="37" t="str">
        <f t="shared" ca="1" si="0"/>
        <v>15 Y    6 M</v>
      </c>
      <c r="F52" s="11"/>
      <c r="G52" s="69">
        <v>44710</v>
      </c>
      <c r="H52" s="72" t="s">
        <v>140</v>
      </c>
      <c r="I52" s="42"/>
      <c r="J52" s="5" t="s">
        <v>135</v>
      </c>
      <c r="K52" s="6" t="e">
        <f t="shared" si="2"/>
        <v>#N/A</v>
      </c>
      <c r="L52" s="6" t="e">
        <f t="shared" si="1"/>
        <v>#N/A</v>
      </c>
      <c r="M52" s="84"/>
      <c r="N52" s="40" t="s">
        <v>162</v>
      </c>
      <c r="O52" s="77" t="s">
        <v>137</v>
      </c>
      <c r="P52" s="12" t="s">
        <v>139</v>
      </c>
      <c r="Q52" s="4" t="s">
        <v>200</v>
      </c>
    </row>
    <row r="53" spans="1:17" ht="17.399999999999999">
      <c r="A53" s="55">
        <v>488</v>
      </c>
      <c r="B53" s="65" t="s">
        <v>51</v>
      </c>
      <c r="C53" s="66" t="s">
        <v>201</v>
      </c>
      <c r="D53" s="53">
        <v>40852</v>
      </c>
      <c r="E53" s="37" t="str">
        <f t="shared" ca="1" si="0"/>
        <v>14 Y    3 M</v>
      </c>
      <c r="F53" s="11"/>
      <c r="G53" s="69" t="s">
        <v>202</v>
      </c>
      <c r="H53" s="72" t="s">
        <v>140</v>
      </c>
      <c r="I53" s="42"/>
      <c r="J53" s="5" t="s">
        <v>135</v>
      </c>
      <c r="K53" s="6" t="e">
        <f t="shared" si="2"/>
        <v>#N/A</v>
      </c>
      <c r="L53" s="6" t="e">
        <f t="shared" si="1"/>
        <v>#N/A</v>
      </c>
      <c r="M53" s="84"/>
      <c r="N53" s="40" t="s">
        <v>162</v>
      </c>
      <c r="O53" s="77" t="s">
        <v>137</v>
      </c>
      <c r="P53" s="12" t="s">
        <v>203</v>
      </c>
      <c r="Q53" s="4">
        <v>766906640</v>
      </c>
    </row>
    <row r="54" spans="1:17" ht="17.399999999999999">
      <c r="A54" s="55">
        <v>491</v>
      </c>
      <c r="B54" s="65" t="s">
        <v>52</v>
      </c>
      <c r="C54" s="66" t="s">
        <v>204</v>
      </c>
      <c r="D54" s="53">
        <v>40203</v>
      </c>
      <c r="E54" s="37" t="str">
        <f t="shared" ca="1" si="0"/>
        <v>16 Y    0 M</v>
      </c>
      <c r="F54" s="11">
        <v>201002503238</v>
      </c>
      <c r="G54" s="69" t="s">
        <v>202</v>
      </c>
      <c r="H54" s="72" t="s">
        <v>140</v>
      </c>
      <c r="I54" s="42"/>
      <c r="J54" s="5" t="s">
        <v>101</v>
      </c>
      <c r="K54" s="6" t="e">
        <f t="shared" si="2"/>
        <v>#N/A</v>
      </c>
      <c r="L54" s="6" t="e">
        <f t="shared" si="1"/>
        <v>#N/A</v>
      </c>
      <c r="M54" s="84"/>
      <c r="N54" s="40" t="s">
        <v>162</v>
      </c>
      <c r="O54" s="77" t="s">
        <v>137</v>
      </c>
      <c r="P54" s="12" t="s">
        <v>205</v>
      </c>
      <c r="Q54" s="4">
        <v>750707297</v>
      </c>
    </row>
    <row r="55" spans="1:17" ht="17.399999999999999">
      <c r="A55" s="55">
        <v>493</v>
      </c>
      <c r="B55" s="56" t="s">
        <v>349</v>
      </c>
      <c r="C55" s="57" t="s">
        <v>350</v>
      </c>
      <c r="D55" s="53">
        <v>40124</v>
      </c>
      <c r="E55" s="37" t="str">
        <f t="shared" ca="1" si="0"/>
        <v>16 Y    2 M</v>
      </c>
      <c r="F55" s="11">
        <v>200931201258</v>
      </c>
      <c r="G55" s="69" t="s">
        <v>202</v>
      </c>
      <c r="H55" s="72" t="s">
        <v>140</v>
      </c>
      <c r="I55" s="42"/>
      <c r="J55" s="5">
        <v>4</v>
      </c>
      <c r="K55" s="6" t="e">
        <f t="shared" si="2"/>
        <v>#N/A</v>
      </c>
      <c r="L55" s="6" t="e">
        <f t="shared" si="1"/>
        <v>#N/A</v>
      </c>
      <c r="M55" s="84"/>
      <c r="N55" s="40" t="s">
        <v>573</v>
      </c>
      <c r="O55" s="77" t="s">
        <v>137</v>
      </c>
      <c r="P55" s="12" t="s">
        <v>197</v>
      </c>
      <c r="Q55" s="4">
        <v>772929235</v>
      </c>
    </row>
    <row r="56" spans="1:17" ht="17.399999999999999">
      <c r="A56" s="55">
        <v>494</v>
      </c>
      <c r="B56" s="56" t="s">
        <v>351</v>
      </c>
      <c r="C56" s="57" t="s">
        <v>352</v>
      </c>
      <c r="D56" s="53">
        <v>39570</v>
      </c>
      <c r="E56" s="37" t="str">
        <f t="shared" ca="1" si="0"/>
        <v>17 Y    9 M</v>
      </c>
      <c r="F56" s="11">
        <v>200812305630</v>
      </c>
      <c r="G56" s="69" t="s">
        <v>202</v>
      </c>
      <c r="H56" s="72" t="s">
        <v>143</v>
      </c>
      <c r="I56" s="42" t="s">
        <v>116</v>
      </c>
      <c r="J56" s="5">
        <v>4</v>
      </c>
      <c r="K56" s="6" t="e">
        <f t="shared" si="2"/>
        <v>#N/A</v>
      </c>
      <c r="L56" s="6" t="e">
        <f t="shared" si="1"/>
        <v>#N/A</v>
      </c>
      <c r="M56" s="84"/>
      <c r="N56" s="40" t="s">
        <v>573</v>
      </c>
      <c r="O56" s="77" t="s">
        <v>137</v>
      </c>
      <c r="P56" s="12" t="s">
        <v>206</v>
      </c>
      <c r="Q56" s="4">
        <v>768005842</v>
      </c>
    </row>
    <row r="57" spans="1:17" ht="17.399999999999999">
      <c r="A57" s="55">
        <v>500</v>
      </c>
      <c r="B57" s="56" t="s">
        <v>353</v>
      </c>
      <c r="C57" s="57" t="s">
        <v>354</v>
      </c>
      <c r="D57" s="53">
        <v>39849</v>
      </c>
      <c r="E57" s="37" t="str">
        <f t="shared" ca="1" si="0"/>
        <v>17 Y    0 M</v>
      </c>
      <c r="F57" s="11">
        <v>200903602467</v>
      </c>
      <c r="G57" s="69" t="s">
        <v>202</v>
      </c>
      <c r="H57" s="72" t="s">
        <v>140</v>
      </c>
      <c r="I57" s="42"/>
      <c r="J57" s="5">
        <v>4</v>
      </c>
      <c r="K57" s="6" t="e">
        <f t="shared" si="2"/>
        <v>#N/A</v>
      </c>
      <c r="L57" s="6" t="e">
        <f t="shared" si="1"/>
        <v>#N/A</v>
      </c>
      <c r="M57" s="84"/>
      <c r="N57" s="40" t="s">
        <v>573</v>
      </c>
      <c r="O57" s="77" t="s">
        <v>137</v>
      </c>
      <c r="P57" s="12" t="s">
        <v>207</v>
      </c>
      <c r="Q57" s="4">
        <v>763746327</v>
      </c>
    </row>
    <row r="58" spans="1:17" ht="17.399999999999999">
      <c r="A58" s="55">
        <v>501</v>
      </c>
      <c r="B58" s="68" t="s">
        <v>527</v>
      </c>
      <c r="C58" s="67" t="s">
        <v>526</v>
      </c>
      <c r="D58" s="53">
        <v>40954</v>
      </c>
      <c r="E58" s="37" t="str">
        <f t="shared" ca="1" si="0"/>
        <v>13 Y    11 M</v>
      </c>
      <c r="F58" s="11"/>
      <c r="G58" s="69" t="s">
        <v>202</v>
      </c>
      <c r="H58" s="72" t="s">
        <v>140</v>
      </c>
      <c r="I58" s="42"/>
      <c r="J58" s="5" t="s">
        <v>102</v>
      </c>
      <c r="K58" s="6" t="e">
        <f t="shared" si="2"/>
        <v>#N/A</v>
      </c>
      <c r="L58" s="6" t="e">
        <f t="shared" si="1"/>
        <v>#N/A</v>
      </c>
      <c r="M58" s="84"/>
      <c r="N58" s="40" t="s">
        <v>162</v>
      </c>
      <c r="O58" s="77" t="s">
        <v>137</v>
      </c>
      <c r="P58" s="12" t="s">
        <v>207</v>
      </c>
      <c r="Q58" s="4">
        <v>763746327</v>
      </c>
    </row>
    <row r="59" spans="1:17" ht="17.399999999999999">
      <c r="A59" s="55">
        <v>503</v>
      </c>
      <c r="B59" s="68" t="s">
        <v>524</v>
      </c>
      <c r="C59" s="67" t="s">
        <v>525</v>
      </c>
      <c r="D59" s="53">
        <v>41020</v>
      </c>
      <c r="E59" s="37" t="str">
        <f t="shared" ca="1" si="0"/>
        <v>13 Y    9 M</v>
      </c>
      <c r="F59" s="11"/>
      <c r="G59" s="69"/>
      <c r="H59" s="72" t="s">
        <v>143</v>
      </c>
      <c r="I59" s="42" t="s">
        <v>116</v>
      </c>
      <c r="J59" s="5">
        <v>1</v>
      </c>
      <c r="K59" s="6" t="e">
        <f t="shared" si="2"/>
        <v>#N/A</v>
      </c>
      <c r="L59" s="6" t="e">
        <f t="shared" si="1"/>
        <v>#N/A</v>
      </c>
      <c r="M59" s="84"/>
      <c r="N59" s="40" t="s">
        <v>573</v>
      </c>
      <c r="O59" s="77" t="s">
        <v>137</v>
      </c>
      <c r="P59" s="12" t="s">
        <v>208</v>
      </c>
      <c r="Q59" s="4">
        <v>752145490</v>
      </c>
    </row>
    <row r="60" spans="1:17" ht="17.399999999999999">
      <c r="A60" s="55">
        <v>506</v>
      </c>
      <c r="B60" s="68" t="s">
        <v>355</v>
      </c>
      <c r="C60" s="67" t="s">
        <v>356</v>
      </c>
      <c r="D60" s="53">
        <v>40159</v>
      </c>
      <c r="E60" s="37" t="str">
        <f t="shared" ca="1" si="0"/>
        <v>16 Y    1 M</v>
      </c>
      <c r="F60" s="11">
        <v>200934700970</v>
      </c>
      <c r="G60" s="69" t="s">
        <v>209</v>
      </c>
      <c r="H60" s="72" t="s">
        <v>140</v>
      </c>
      <c r="I60" s="42"/>
      <c r="J60" s="5">
        <v>4</v>
      </c>
      <c r="K60" s="6" t="e">
        <f t="shared" si="2"/>
        <v>#N/A</v>
      </c>
      <c r="L60" s="6" t="e">
        <f t="shared" si="1"/>
        <v>#N/A</v>
      </c>
      <c r="M60" s="84"/>
      <c r="N60" s="40" t="s">
        <v>573</v>
      </c>
      <c r="O60" s="77" t="s">
        <v>137</v>
      </c>
      <c r="P60" s="12" t="s">
        <v>210</v>
      </c>
      <c r="Q60" s="4">
        <v>776156536</v>
      </c>
    </row>
    <row r="61" spans="1:17" ht="17.399999999999999">
      <c r="A61" s="55">
        <v>507</v>
      </c>
      <c r="B61" s="68" t="s">
        <v>59</v>
      </c>
      <c r="C61" s="67" t="s">
        <v>211</v>
      </c>
      <c r="D61" s="53">
        <v>39585</v>
      </c>
      <c r="E61" s="37" t="str">
        <f t="shared" ca="1" si="0"/>
        <v>17 Y    8 M</v>
      </c>
      <c r="F61" s="11"/>
      <c r="G61" s="69"/>
      <c r="H61" s="72" t="s">
        <v>140</v>
      </c>
      <c r="I61" s="42"/>
      <c r="J61" s="5">
        <v>2</v>
      </c>
      <c r="K61" s="6" t="e">
        <f t="shared" si="2"/>
        <v>#N/A</v>
      </c>
      <c r="L61" s="6" t="e">
        <f t="shared" si="1"/>
        <v>#N/A</v>
      </c>
      <c r="M61" s="84"/>
      <c r="N61" s="40" t="s">
        <v>573</v>
      </c>
      <c r="O61" s="77" t="s">
        <v>137</v>
      </c>
      <c r="P61" s="12" t="s">
        <v>212</v>
      </c>
      <c r="Q61" s="4">
        <v>773490474</v>
      </c>
    </row>
    <row r="62" spans="1:17" ht="17.399999999999999">
      <c r="A62" s="59">
        <v>509</v>
      </c>
      <c r="B62" s="68" t="s">
        <v>523</v>
      </c>
      <c r="C62" s="67" t="s">
        <v>214</v>
      </c>
      <c r="D62" s="53">
        <v>39922</v>
      </c>
      <c r="E62" s="37" t="str">
        <f t="shared" ca="1" si="0"/>
        <v>16 Y    9 M</v>
      </c>
      <c r="F62" s="11"/>
      <c r="G62" s="69"/>
      <c r="H62" s="72" t="s">
        <v>140</v>
      </c>
      <c r="I62" s="70"/>
      <c r="J62" s="5">
        <v>3</v>
      </c>
      <c r="K62" s="6" t="e">
        <f t="shared" si="2"/>
        <v>#N/A</v>
      </c>
      <c r="L62" s="6" t="e">
        <f t="shared" si="1"/>
        <v>#N/A</v>
      </c>
      <c r="M62" s="86"/>
      <c r="N62" s="40" t="s">
        <v>573</v>
      </c>
      <c r="O62" s="77" t="s">
        <v>137</v>
      </c>
      <c r="P62" s="12" t="s">
        <v>215</v>
      </c>
      <c r="Q62" s="4" t="s">
        <v>545</v>
      </c>
    </row>
    <row r="63" spans="1:17" ht="17.399999999999999">
      <c r="A63" s="55">
        <v>510</v>
      </c>
      <c r="B63" s="68" t="s">
        <v>357</v>
      </c>
      <c r="C63" s="67" t="s">
        <v>358</v>
      </c>
      <c r="D63" s="53">
        <v>40025</v>
      </c>
      <c r="E63" s="37" t="str">
        <f t="shared" ca="1" si="0"/>
        <v>16 Y    6 M</v>
      </c>
      <c r="F63" s="11">
        <v>200921301578</v>
      </c>
      <c r="G63" s="69" t="s">
        <v>216</v>
      </c>
      <c r="H63" s="72" t="s">
        <v>140</v>
      </c>
      <c r="I63" s="42"/>
      <c r="J63" s="5">
        <v>4</v>
      </c>
      <c r="K63" s="6" t="e">
        <f t="shared" si="2"/>
        <v>#N/A</v>
      </c>
      <c r="L63" s="6" t="e">
        <f t="shared" si="1"/>
        <v>#N/A</v>
      </c>
      <c r="M63" s="84"/>
      <c r="N63" s="40" t="s">
        <v>573</v>
      </c>
      <c r="O63" s="77" t="s">
        <v>137</v>
      </c>
      <c r="P63" s="12" t="s">
        <v>217</v>
      </c>
      <c r="Q63" s="4">
        <v>773615802</v>
      </c>
    </row>
    <row r="64" spans="1:17" ht="17.399999999999999">
      <c r="A64" s="55">
        <v>514</v>
      </c>
      <c r="B64" s="68" t="s">
        <v>359</v>
      </c>
      <c r="C64" s="67" t="s">
        <v>360</v>
      </c>
      <c r="D64" s="53">
        <v>39467</v>
      </c>
      <c r="E64" s="37" t="str">
        <f t="shared" ca="1" si="0"/>
        <v>18 Y    0 M</v>
      </c>
      <c r="F64" s="11">
        <v>200802000876</v>
      </c>
      <c r="G64" s="69" t="s">
        <v>218</v>
      </c>
      <c r="H64" s="72" t="s">
        <v>140</v>
      </c>
      <c r="I64" s="42"/>
      <c r="J64" s="5">
        <v>4</v>
      </c>
      <c r="K64" s="6" t="e">
        <f t="shared" si="2"/>
        <v>#N/A</v>
      </c>
      <c r="L64" s="6" t="e">
        <f t="shared" si="1"/>
        <v>#N/A</v>
      </c>
      <c r="M64" s="84"/>
      <c r="N64" s="40" t="s">
        <v>573</v>
      </c>
      <c r="O64" s="77" t="s">
        <v>137</v>
      </c>
      <c r="P64" s="12" t="s">
        <v>219</v>
      </c>
      <c r="Q64" s="4">
        <v>760653596</v>
      </c>
    </row>
    <row r="65" spans="1:17" ht="17.399999999999999">
      <c r="A65" s="58">
        <v>515</v>
      </c>
      <c r="B65" s="68" t="s">
        <v>62</v>
      </c>
      <c r="C65" s="67" t="s">
        <v>489</v>
      </c>
      <c r="D65" s="53">
        <v>41493</v>
      </c>
      <c r="E65" s="37" t="str">
        <f t="shared" ca="1" si="0"/>
        <v>12 Y    5 M</v>
      </c>
      <c r="F65" s="11"/>
      <c r="G65" s="69" t="s">
        <v>220</v>
      </c>
      <c r="H65" s="72" t="s">
        <v>140</v>
      </c>
      <c r="I65" s="42"/>
      <c r="J65" s="5" t="s">
        <v>103</v>
      </c>
      <c r="K65" s="6" t="e">
        <f t="shared" si="2"/>
        <v>#N/A</v>
      </c>
      <c r="L65" s="6" t="e">
        <f t="shared" si="1"/>
        <v>#N/A</v>
      </c>
      <c r="M65" s="84"/>
      <c r="N65" s="40" t="s">
        <v>162</v>
      </c>
      <c r="O65" s="77" t="s">
        <v>221</v>
      </c>
      <c r="P65" s="12" t="s">
        <v>222</v>
      </c>
      <c r="Q65" s="4">
        <v>767694942</v>
      </c>
    </row>
    <row r="66" spans="1:17" ht="17.399999999999999">
      <c r="A66" s="58">
        <v>516</v>
      </c>
      <c r="B66" s="56" t="s">
        <v>63</v>
      </c>
      <c r="C66" s="67" t="s">
        <v>490</v>
      </c>
      <c r="D66" s="53">
        <v>40906</v>
      </c>
      <c r="E66" s="37" t="str">
        <f t="shared" ref="E66:E90" ca="1" si="3">DATEDIF(D66, TODAY(), "Y") &amp; " Y    " &amp; DATEDIF(D66, TODAY(), "YM") &amp; " M"</f>
        <v>14 Y    1 M</v>
      </c>
      <c r="F66" s="11"/>
      <c r="G66" s="69" t="s">
        <v>220</v>
      </c>
      <c r="H66" s="72" t="s">
        <v>140</v>
      </c>
      <c r="I66" s="42"/>
      <c r="J66" s="5" t="s">
        <v>104</v>
      </c>
      <c r="K66" s="6" t="e">
        <f t="shared" ref="K66:K129" si="4">VLOOKUP(J66,$A$162:$B$179,2,FALSE)</f>
        <v>#N/A</v>
      </c>
      <c r="L66" s="6" t="e">
        <f t="shared" ref="L66:L129" si="5">VLOOKUP(J66,$A$162:$C$179,3,FALSE)</f>
        <v>#N/A</v>
      </c>
      <c r="M66" s="84"/>
      <c r="N66" s="40" t="s">
        <v>162</v>
      </c>
      <c r="O66" s="77" t="s">
        <v>221</v>
      </c>
      <c r="P66" s="12" t="s">
        <v>223</v>
      </c>
      <c r="Q66" s="4" t="s">
        <v>546</v>
      </c>
    </row>
    <row r="67" spans="1:17" ht="17.399999999999999">
      <c r="A67" s="58">
        <v>518</v>
      </c>
      <c r="B67" s="56" t="s">
        <v>384</v>
      </c>
      <c r="C67" s="67" t="s">
        <v>385</v>
      </c>
      <c r="D67" s="53">
        <v>40403</v>
      </c>
      <c r="E67" s="37" t="str">
        <f t="shared" ca="1" si="3"/>
        <v>15 Y    5 M</v>
      </c>
      <c r="F67" s="11"/>
      <c r="G67" s="69"/>
      <c r="H67" s="72" t="s">
        <v>140</v>
      </c>
      <c r="I67" s="42"/>
      <c r="J67" s="5">
        <v>3</v>
      </c>
      <c r="K67" s="6" t="e">
        <f t="shared" si="4"/>
        <v>#N/A</v>
      </c>
      <c r="L67" s="6" t="e">
        <f t="shared" si="5"/>
        <v>#N/A</v>
      </c>
      <c r="M67" s="84"/>
      <c r="N67" s="40" t="s">
        <v>573</v>
      </c>
      <c r="O67" s="77" t="s">
        <v>221</v>
      </c>
      <c r="P67" s="12" t="s">
        <v>224</v>
      </c>
      <c r="Q67" s="4">
        <v>764979616</v>
      </c>
    </row>
    <row r="68" spans="1:17" ht="17.399999999999999">
      <c r="A68" s="58">
        <v>519</v>
      </c>
      <c r="B68" s="56" t="s">
        <v>65</v>
      </c>
      <c r="C68" s="67" t="s">
        <v>491</v>
      </c>
      <c r="D68" s="53">
        <v>41537</v>
      </c>
      <c r="E68" s="37" t="str">
        <f t="shared" ca="1" si="3"/>
        <v>12 Y    4 M</v>
      </c>
      <c r="F68" s="11"/>
      <c r="G68" s="69" t="s">
        <v>220</v>
      </c>
      <c r="H68" s="72" t="s">
        <v>140</v>
      </c>
      <c r="I68" s="42"/>
      <c r="J68" s="5" t="s">
        <v>103</v>
      </c>
      <c r="K68" s="6" t="e">
        <f t="shared" si="4"/>
        <v>#N/A</v>
      </c>
      <c r="L68" s="6" t="e">
        <f t="shared" si="5"/>
        <v>#N/A</v>
      </c>
      <c r="M68" s="84"/>
      <c r="N68" s="40" t="s">
        <v>162</v>
      </c>
      <c r="O68" s="77" t="s">
        <v>221</v>
      </c>
      <c r="P68" s="12" t="s">
        <v>225</v>
      </c>
      <c r="Q68" s="4" t="s">
        <v>548</v>
      </c>
    </row>
    <row r="69" spans="1:17" ht="17.399999999999999">
      <c r="A69" s="58">
        <v>520</v>
      </c>
      <c r="B69" s="56" t="s">
        <v>66</v>
      </c>
      <c r="C69" s="67" t="s">
        <v>492</v>
      </c>
      <c r="D69" s="53">
        <v>40732</v>
      </c>
      <c r="E69" s="37" t="str">
        <f t="shared" ca="1" si="3"/>
        <v>14 Y    6 M</v>
      </c>
      <c r="F69" s="11"/>
      <c r="G69" s="69" t="s">
        <v>220</v>
      </c>
      <c r="H69" s="72" t="s">
        <v>140</v>
      </c>
      <c r="I69" s="42"/>
      <c r="J69" s="5" t="s">
        <v>104</v>
      </c>
      <c r="K69" s="6" t="e">
        <f t="shared" si="4"/>
        <v>#N/A</v>
      </c>
      <c r="L69" s="6" t="e">
        <f t="shared" si="5"/>
        <v>#N/A</v>
      </c>
      <c r="M69" s="84"/>
      <c r="N69" s="40" t="s">
        <v>162</v>
      </c>
      <c r="O69" s="77" t="s">
        <v>221</v>
      </c>
      <c r="P69" s="12" t="s">
        <v>225</v>
      </c>
      <c r="Q69" s="4" t="s">
        <v>549</v>
      </c>
    </row>
    <row r="70" spans="1:17" ht="17.399999999999999">
      <c r="A70" s="58">
        <v>521</v>
      </c>
      <c r="B70" s="56" t="s">
        <v>67</v>
      </c>
      <c r="C70" s="67" t="s">
        <v>493</v>
      </c>
      <c r="D70" s="53">
        <v>41456</v>
      </c>
      <c r="E70" s="37" t="str">
        <f t="shared" ca="1" si="3"/>
        <v>12 Y    7 M</v>
      </c>
      <c r="F70" s="11"/>
      <c r="G70" s="69" t="s">
        <v>220</v>
      </c>
      <c r="H70" s="72" t="s">
        <v>140</v>
      </c>
      <c r="I70" s="42"/>
      <c r="J70" s="5" t="s">
        <v>103</v>
      </c>
      <c r="K70" s="6" t="e">
        <f t="shared" si="4"/>
        <v>#N/A</v>
      </c>
      <c r="L70" s="6" t="e">
        <f t="shared" si="5"/>
        <v>#N/A</v>
      </c>
      <c r="M70" s="84"/>
      <c r="N70" s="40" t="s">
        <v>162</v>
      </c>
      <c r="O70" s="77" t="s">
        <v>221</v>
      </c>
      <c r="P70" s="12" t="s">
        <v>226</v>
      </c>
      <c r="Q70" s="4" t="s">
        <v>550</v>
      </c>
    </row>
    <row r="71" spans="1:17" ht="17.399999999999999">
      <c r="A71" s="58">
        <v>522</v>
      </c>
      <c r="B71" s="56" t="s">
        <v>68</v>
      </c>
      <c r="C71" s="67" t="s">
        <v>494</v>
      </c>
      <c r="D71" s="53">
        <v>41816</v>
      </c>
      <c r="E71" s="37" t="str">
        <f t="shared" ca="1" si="3"/>
        <v>11 Y    7 M</v>
      </c>
      <c r="F71" s="11"/>
      <c r="G71" s="69" t="s">
        <v>220</v>
      </c>
      <c r="H71" s="72" t="s">
        <v>140</v>
      </c>
      <c r="I71" s="42"/>
      <c r="J71" s="5" t="s">
        <v>104</v>
      </c>
      <c r="K71" s="6" t="e">
        <f t="shared" si="4"/>
        <v>#N/A</v>
      </c>
      <c r="L71" s="6" t="e">
        <f t="shared" si="5"/>
        <v>#N/A</v>
      </c>
      <c r="M71" s="84"/>
      <c r="N71" s="40" t="s">
        <v>162</v>
      </c>
      <c r="O71" s="77" t="s">
        <v>221</v>
      </c>
      <c r="P71" s="12" t="s">
        <v>227</v>
      </c>
      <c r="Q71" s="4" t="s">
        <v>551</v>
      </c>
    </row>
    <row r="72" spans="1:17" ht="17.399999999999999">
      <c r="A72" s="58">
        <v>523</v>
      </c>
      <c r="B72" s="56" t="s">
        <v>69</v>
      </c>
      <c r="C72" s="67" t="s">
        <v>495</v>
      </c>
      <c r="D72" s="53">
        <v>41443</v>
      </c>
      <c r="E72" s="37" t="str">
        <f t="shared" ca="1" si="3"/>
        <v>12 Y    7 M</v>
      </c>
      <c r="F72" s="11"/>
      <c r="G72" s="69" t="s">
        <v>220</v>
      </c>
      <c r="H72" s="72" t="s">
        <v>140</v>
      </c>
      <c r="I72" s="42"/>
      <c r="J72" s="5" t="s">
        <v>103</v>
      </c>
      <c r="K72" s="6" t="e">
        <f t="shared" si="4"/>
        <v>#N/A</v>
      </c>
      <c r="L72" s="6" t="e">
        <f t="shared" si="5"/>
        <v>#N/A</v>
      </c>
      <c r="M72" s="84"/>
      <c r="N72" s="40" t="s">
        <v>162</v>
      </c>
      <c r="O72" s="77" t="s">
        <v>221</v>
      </c>
      <c r="P72" s="12" t="s">
        <v>228</v>
      </c>
      <c r="Q72" s="4" t="s">
        <v>552</v>
      </c>
    </row>
    <row r="73" spans="1:17" ht="17.399999999999999">
      <c r="A73" s="58">
        <v>524</v>
      </c>
      <c r="B73" s="56" t="s">
        <v>70</v>
      </c>
      <c r="C73" s="67" t="s">
        <v>496</v>
      </c>
      <c r="D73" s="53">
        <v>40273</v>
      </c>
      <c r="E73" s="37" t="str">
        <f t="shared" ca="1" si="3"/>
        <v>15 Y    10 M</v>
      </c>
      <c r="F73" s="11"/>
      <c r="G73" s="69" t="s">
        <v>220</v>
      </c>
      <c r="H73" s="72" t="s">
        <v>140</v>
      </c>
      <c r="I73" s="42"/>
      <c r="J73" s="5" t="s">
        <v>103</v>
      </c>
      <c r="K73" s="6" t="e">
        <f t="shared" si="4"/>
        <v>#N/A</v>
      </c>
      <c r="L73" s="6" t="e">
        <f t="shared" si="5"/>
        <v>#N/A</v>
      </c>
      <c r="M73" s="84"/>
      <c r="N73" s="40" t="s">
        <v>162</v>
      </c>
      <c r="O73" s="77" t="s">
        <v>221</v>
      </c>
      <c r="P73" s="12" t="s">
        <v>229</v>
      </c>
      <c r="Q73" s="4" t="s">
        <v>553</v>
      </c>
    </row>
    <row r="74" spans="1:17" ht="17.399999999999999">
      <c r="A74" s="58">
        <v>525</v>
      </c>
      <c r="B74" s="56" t="s">
        <v>386</v>
      </c>
      <c r="C74" s="67" t="s">
        <v>387</v>
      </c>
      <c r="D74" s="53">
        <v>39298</v>
      </c>
      <c r="E74" s="37" t="str">
        <f t="shared" ca="1" si="3"/>
        <v>18 Y    6 M</v>
      </c>
      <c r="F74" s="11">
        <v>200721704963</v>
      </c>
      <c r="G74" s="69"/>
      <c r="H74" s="72" t="s">
        <v>140</v>
      </c>
      <c r="I74" s="42"/>
      <c r="J74" s="5">
        <v>3</v>
      </c>
      <c r="K74" s="6" t="e">
        <f t="shared" si="4"/>
        <v>#N/A</v>
      </c>
      <c r="L74" s="6" t="e">
        <f t="shared" si="5"/>
        <v>#N/A</v>
      </c>
      <c r="M74" s="84"/>
      <c r="N74" s="40" t="s">
        <v>573</v>
      </c>
      <c r="O74" s="77" t="s">
        <v>221</v>
      </c>
      <c r="P74" s="12" t="s">
        <v>230</v>
      </c>
      <c r="Q74" s="4" t="s">
        <v>554</v>
      </c>
    </row>
    <row r="75" spans="1:17" ht="17.399999999999999">
      <c r="A75" s="58">
        <v>526</v>
      </c>
      <c r="B75" s="56" t="s">
        <v>343</v>
      </c>
      <c r="C75" s="67" t="s">
        <v>388</v>
      </c>
      <c r="D75" s="53">
        <v>40198</v>
      </c>
      <c r="E75" s="37" t="str">
        <f t="shared" ca="1" si="3"/>
        <v>16 Y    0 M</v>
      </c>
      <c r="F75" s="11">
        <v>201002003621</v>
      </c>
      <c r="G75" s="69"/>
      <c r="H75" s="72" t="s">
        <v>140</v>
      </c>
      <c r="I75" s="42"/>
      <c r="J75" s="5">
        <v>3</v>
      </c>
      <c r="K75" s="6" t="e">
        <f t="shared" si="4"/>
        <v>#N/A</v>
      </c>
      <c r="L75" s="6" t="e">
        <f t="shared" si="5"/>
        <v>#N/A</v>
      </c>
      <c r="M75" s="84"/>
      <c r="N75" s="40" t="s">
        <v>573</v>
      </c>
      <c r="O75" s="77" t="s">
        <v>221</v>
      </c>
      <c r="P75" s="12" t="s">
        <v>231</v>
      </c>
      <c r="Q75" s="4" t="s">
        <v>555</v>
      </c>
    </row>
    <row r="76" spans="1:17" ht="17.399999999999999">
      <c r="A76" s="58">
        <v>527</v>
      </c>
      <c r="B76" s="56" t="s">
        <v>389</v>
      </c>
      <c r="C76" s="67" t="s">
        <v>390</v>
      </c>
      <c r="D76" s="53">
        <v>40153</v>
      </c>
      <c r="E76" s="37" t="str">
        <f t="shared" ca="1" si="3"/>
        <v>16 Y    1 M</v>
      </c>
      <c r="F76" s="11"/>
      <c r="G76" s="69"/>
      <c r="H76" s="72" t="s">
        <v>140</v>
      </c>
      <c r="I76" s="42"/>
      <c r="J76" s="5">
        <v>3</v>
      </c>
      <c r="K76" s="6" t="e">
        <f t="shared" si="4"/>
        <v>#N/A</v>
      </c>
      <c r="L76" s="6" t="e">
        <f t="shared" si="5"/>
        <v>#N/A</v>
      </c>
      <c r="M76" s="84"/>
      <c r="N76" s="40" t="s">
        <v>573</v>
      </c>
      <c r="O76" s="77" t="s">
        <v>221</v>
      </c>
      <c r="P76" s="12" t="s">
        <v>232</v>
      </c>
      <c r="Q76" s="4" t="s">
        <v>556</v>
      </c>
    </row>
    <row r="77" spans="1:17" ht="17.399999999999999">
      <c r="A77" s="58">
        <v>530</v>
      </c>
      <c r="B77" s="56" t="s">
        <v>391</v>
      </c>
      <c r="C77" s="67" t="s">
        <v>392</v>
      </c>
      <c r="D77" s="53">
        <v>39625</v>
      </c>
      <c r="E77" s="37" t="str">
        <f t="shared" ca="1" si="3"/>
        <v>17 Y    7 M</v>
      </c>
      <c r="F77" s="11">
        <v>200817701192</v>
      </c>
      <c r="G77" s="69"/>
      <c r="H77" s="72" t="s">
        <v>143</v>
      </c>
      <c r="I77" s="42" t="s">
        <v>115</v>
      </c>
      <c r="J77" s="5">
        <v>3</v>
      </c>
      <c r="K77" s="6" t="e">
        <f t="shared" si="4"/>
        <v>#N/A</v>
      </c>
      <c r="L77" s="6" t="e">
        <f t="shared" si="5"/>
        <v>#N/A</v>
      </c>
      <c r="M77" s="84"/>
      <c r="N77" s="40" t="s">
        <v>573</v>
      </c>
      <c r="O77" s="77" t="s">
        <v>233</v>
      </c>
      <c r="P77" s="12" t="s">
        <v>234</v>
      </c>
      <c r="Q77" s="4" t="s">
        <v>557</v>
      </c>
    </row>
    <row r="78" spans="1:17" ht="17.399999999999999">
      <c r="A78" s="58">
        <v>531</v>
      </c>
      <c r="B78" s="56" t="s">
        <v>75</v>
      </c>
      <c r="C78" s="67" t="s">
        <v>497</v>
      </c>
      <c r="D78" s="53">
        <v>41565</v>
      </c>
      <c r="E78" s="37" t="str">
        <f t="shared" ca="1" si="3"/>
        <v>12 Y    3 M</v>
      </c>
      <c r="F78" s="11"/>
      <c r="G78" s="69" t="s">
        <v>220</v>
      </c>
      <c r="H78" s="72" t="s">
        <v>140</v>
      </c>
      <c r="I78" s="42"/>
      <c r="J78" s="5" t="s">
        <v>104</v>
      </c>
      <c r="K78" s="6" t="e">
        <f t="shared" si="4"/>
        <v>#N/A</v>
      </c>
      <c r="L78" s="6" t="e">
        <f t="shared" si="5"/>
        <v>#N/A</v>
      </c>
      <c r="M78" s="84"/>
      <c r="N78" s="40" t="s">
        <v>162</v>
      </c>
      <c r="O78" s="77" t="s">
        <v>221</v>
      </c>
      <c r="P78" s="12" t="s">
        <v>235</v>
      </c>
      <c r="Q78" s="4" t="s">
        <v>558</v>
      </c>
    </row>
    <row r="79" spans="1:17" ht="17.399999999999999">
      <c r="A79" s="58">
        <v>532</v>
      </c>
      <c r="B79" s="56" t="s">
        <v>76</v>
      </c>
      <c r="C79" s="67" t="s">
        <v>498</v>
      </c>
      <c r="D79" s="53">
        <v>41298</v>
      </c>
      <c r="E79" s="37" t="str">
        <f t="shared" ca="1" si="3"/>
        <v>13 Y    0 M</v>
      </c>
      <c r="F79" s="11"/>
      <c r="G79" s="69" t="s">
        <v>220</v>
      </c>
      <c r="H79" s="72" t="s">
        <v>140</v>
      </c>
      <c r="I79" s="42"/>
      <c r="J79" s="5" t="s">
        <v>103</v>
      </c>
      <c r="K79" s="6" t="e">
        <f t="shared" si="4"/>
        <v>#N/A</v>
      </c>
      <c r="L79" s="6" t="e">
        <f t="shared" si="5"/>
        <v>#N/A</v>
      </c>
      <c r="M79" s="84"/>
      <c r="N79" s="40" t="s">
        <v>162</v>
      </c>
      <c r="O79" s="77" t="s">
        <v>221</v>
      </c>
      <c r="P79" s="12" t="s">
        <v>236</v>
      </c>
      <c r="Q79" s="4" t="s">
        <v>559</v>
      </c>
    </row>
    <row r="80" spans="1:17" ht="17.399999999999999">
      <c r="A80" s="58">
        <v>533</v>
      </c>
      <c r="B80" s="56" t="s">
        <v>77</v>
      </c>
      <c r="C80" s="67" t="s">
        <v>499</v>
      </c>
      <c r="D80" s="53">
        <v>40578</v>
      </c>
      <c r="E80" s="37" t="str">
        <f t="shared" ca="1" si="3"/>
        <v>15 Y    0 M</v>
      </c>
      <c r="F80" s="11"/>
      <c r="G80" s="69" t="s">
        <v>220</v>
      </c>
      <c r="H80" s="72" t="s">
        <v>140</v>
      </c>
      <c r="I80" s="42"/>
      <c r="J80" s="5" t="s">
        <v>103</v>
      </c>
      <c r="K80" s="6" t="e">
        <f t="shared" si="4"/>
        <v>#N/A</v>
      </c>
      <c r="L80" s="6" t="e">
        <f t="shared" si="5"/>
        <v>#N/A</v>
      </c>
      <c r="M80" s="84"/>
      <c r="N80" s="40" t="s">
        <v>162</v>
      </c>
      <c r="O80" s="77" t="s">
        <v>221</v>
      </c>
      <c r="P80" s="12" t="s">
        <v>237</v>
      </c>
      <c r="Q80" s="4" t="s">
        <v>547</v>
      </c>
    </row>
    <row r="81" spans="1:17" ht="17.399999999999999">
      <c r="A81" s="58">
        <v>535</v>
      </c>
      <c r="B81" s="56" t="s">
        <v>78</v>
      </c>
      <c r="C81" s="67" t="s">
        <v>500</v>
      </c>
      <c r="D81" s="53">
        <v>40626</v>
      </c>
      <c r="E81" s="37" t="str">
        <f t="shared" ca="1" si="3"/>
        <v>14 Y    10 M</v>
      </c>
      <c r="F81" s="11"/>
      <c r="G81" s="69" t="s">
        <v>220</v>
      </c>
      <c r="H81" s="72" t="s">
        <v>140</v>
      </c>
      <c r="I81" s="42"/>
      <c r="J81" s="5" t="s">
        <v>103</v>
      </c>
      <c r="K81" s="6" t="e">
        <f t="shared" si="4"/>
        <v>#N/A</v>
      </c>
      <c r="L81" s="6" t="e">
        <f t="shared" si="5"/>
        <v>#N/A</v>
      </c>
      <c r="M81" s="84"/>
      <c r="N81" s="40" t="s">
        <v>162</v>
      </c>
      <c r="O81" s="77" t="s">
        <v>221</v>
      </c>
      <c r="P81" s="12" t="s">
        <v>238</v>
      </c>
      <c r="Q81" s="4">
        <v>770638956</v>
      </c>
    </row>
    <row r="82" spans="1:17" ht="17.399999999999999">
      <c r="A82" s="58">
        <v>536</v>
      </c>
      <c r="B82" s="56" t="s">
        <v>79</v>
      </c>
      <c r="C82" s="67" t="s">
        <v>501</v>
      </c>
      <c r="D82" s="53">
        <v>40385</v>
      </c>
      <c r="E82" s="37" t="str">
        <f t="shared" ca="1" si="3"/>
        <v>15 Y    6 M</v>
      </c>
      <c r="F82" s="11"/>
      <c r="G82" s="69" t="s">
        <v>220</v>
      </c>
      <c r="H82" s="72" t="s">
        <v>140</v>
      </c>
      <c r="I82" s="42"/>
      <c r="J82" s="5" t="s">
        <v>103</v>
      </c>
      <c r="K82" s="6" t="e">
        <f t="shared" si="4"/>
        <v>#N/A</v>
      </c>
      <c r="L82" s="6" t="e">
        <f t="shared" si="5"/>
        <v>#N/A</v>
      </c>
      <c r="M82" s="84"/>
      <c r="N82" s="40" t="s">
        <v>162</v>
      </c>
      <c r="O82" s="77" t="s">
        <v>221</v>
      </c>
      <c r="P82" s="12" t="s">
        <v>238</v>
      </c>
      <c r="Q82" s="4">
        <v>770638956</v>
      </c>
    </row>
    <row r="83" spans="1:17" ht="17.399999999999999">
      <c r="A83" s="58">
        <v>538</v>
      </c>
      <c r="B83" s="56" t="s">
        <v>80</v>
      </c>
      <c r="C83" s="67" t="s">
        <v>502</v>
      </c>
      <c r="D83" s="53">
        <v>40485</v>
      </c>
      <c r="E83" s="37" t="str">
        <f t="shared" ca="1" si="3"/>
        <v>15 Y    3 M</v>
      </c>
      <c r="F83" s="11"/>
      <c r="G83" s="69" t="s">
        <v>220</v>
      </c>
      <c r="H83" s="72" t="s">
        <v>140</v>
      </c>
      <c r="I83" s="42"/>
      <c r="J83" s="5" t="s">
        <v>104</v>
      </c>
      <c r="K83" s="6" t="e">
        <f t="shared" si="4"/>
        <v>#N/A</v>
      </c>
      <c r="L83" s="6" t="e">
        <f t="shared" si="5"/>
        <v>#N/A</v>
      </c>
      <c r="M83" s="84"/>
      <c r="N83" s="40" t="s">
        <v>162</v>
      </c>
      <c r="O83" s="77" t="s">
        <v>221</v>
      </c>
      <c r="P83" s="12" t="s">
        <v>239</v>
      </c>
      <c r="Q83" s="4" t="s">
        <v>560</v>
      </c>
    </row>
    <row r="84" spans="1:17" ht="17.399999999999999">
      <c r="A84" s="58">
        <v>539</v>
      </c>
      <c r="B84" s="56" t="s">
        <v>81</v>
      </c>
      <c r="C84" s="67" t="s">
        <v>503</v>
      </c>
      <c r="D84" s="53">
        <v>40514</v>
      </c>
      <c r="E84" s="37" t="str">
        <f t="shared" ca="1" si="3"/>
        <v>15 Y    2 M</v>
      </c>
      <c r="F84" s="11"/>
      <c r="G84" s="69"/>
      <c r="H84" s="72" t="s">
        <v>140</v>
      </c>
      <c r="I84" s="42"/>
      <c r="J84" s="5">
        <v>2</v>
      </c>
      <c r="K84" s="6" t="e">
        <f t="shared" si="4"/>
        <v>#N/A</v>
      </c>
      <c r="L84" s="6" t="e">
        <f t="shared" si="5"/>
        <v>#N/A</v>
      </c>
      <c r="M84" s="84"/>
      <c r="N84" s="40" t="s">
        <v>573</v>
      </c>
      <c r="O84" s="77" t="s">
        <v>221</v>
      </c>
      <c r="P84" s="12" t="s">
        <v>240</v>
      </c>
      <c r="Q84" s="4" t="s">
        <v>561</v>
      </c>
    </row>
    <row r="85" spans="1:17" ht="17.399999999999999">
      <c r="A85" s="58">
        <v>544</v>
      </c>
      <c r="B85" s="56" t="s">
        <v>82</v>
      </c>
      <c r="C85" s="67" t="s">
        <v>504</v>
      </c>
      <c r="D85" s="53">
        <v>40595</v>
      </c>
      <c r="E85" s="37" t="str">
        <f t="shared" ca="1" si="3"/>
        <v>14 Y    11 M</v>
      </c>
      <c r="F85" s="11"/>
      <c r="G85" s="69">
        <v>45474</v>
      </c>
      <c r="H85" s="72" t="s">
        <v>140</v>
      </c>
      <c r="I85" s="42"/>
      <c r="J85" s="5" t="s">
        <v>104</v>
      </c>
      <c r="K85" s="6" t="e">
        <f t="shared" si="4"/>
        <v>#N/A</v>
      </c>
      <c r="L85" s="6" t="e">
        <f t="shared" si="5"/>
        <v>#N/A</v>
      </c>
      <c r="M85" s="84"/>
      <c r="N85" s="40" t="s">
        <v>162</v>
      </c>
      <c r="O85" s="77" t="e">
        <v>#N/A</v>
      </c>
      <c r="P85" s="12" t="s">
        <v>241</v>
      </c>
      <c r="Q85" s="4" t="e">
        <v>#N/A</v>
      </c>
    </row>
    <row r="86" spans="1:17" ht="17.399999999999999">
      <c r="A86" s="58">
        <v>546</v>
      </c>
      <c r="B86" s="56" t="s">
        <v>83</v>
      </c>
      <c r="C86" s="67" t="s">
        <v>505</v>
      </c>
      <c r="D86" s="53">
        <v>41589</v>
      </c>
      <c r="E86" s="37" t="str">
        <f t="shared" ca="1" si="3"/>
        <v>12 Y    2 M</v>
      </c>
      <c r="F86" s="11"/>
      <c r="G86" s="69" t="s">
        <v>220</v>
      </c>
      <c r="H86" s="72" t="s">
        <v>140</v>
      </c>
      <c r="I86" s="42"/>
      <c r="J86" s="5" t="s">
        <v>104</v>
      </c>
      <c r="K86" s="6" t="e">
        <f t="shared" si="4"/>
        <v>#N/A</v>
      </c>
      <c r="L86" s="6" t="e">
        <f t="shared" si="5"/>
        <v>#N/A</v>
      </c>
      <c r="M86" s="84"/>
      <c r="N86" s="40" t="s">
        <v>162</v>
      </c>
      <c r="O86" s="77" t="s">
        <v>221</v>
      </c>
      <c r="P86" s="12" t="s">
        <v>242</v>
      </c>
      <c r="Q86" s="4">
        <v>771105389</v>
      </c>
    </row>
    <row r="87" spans="1:17" ht="17.399999999999999">
      <c r="A87" s="58">
        <v>550</v>
      </c>
      <c r="B87" s="56" t="s">
        <v>105</v>
      </c>
      <c r="C87" s="67" t="s">
        <v>506</v>
      </c>
      <c r="D87" s="53">
        <v>40532</v>
      </c>
      <c r="E87" s="37" t="str">
        <f t="shared" ca="1" si="3"/>
        <v>15 Y    1 M</v>
      </c>
      <c r="F87" s="11"/>
      <c r="G87" s="69"/>
      <c r="H87" s="72" t="s">
        <v>143</v>
      </c>
      <c r="I87" s="42" t="s">
        <v>116</v>
      </c>
      <c r="J87" s="5">
        <v>2</v>
      </c>
      <c r="K87" s="6" t="e">
        <f t="shared" si="4"/>
        <v>#N/A</v>
      </c>
      <c r="L87" s="6" t="e">
        <f t="shared" si="5"/>
        <v>#N/A</v>
      </c>
      <c r="M87" s="84"/>
      <c r="N87" s="40" t="s">
        <v>573</v>
      </c>
      <c r="O87" s="77" t="s">
        <v>137</v>
      </c>
      <c r="P87" s="12" t="s">
        <v>243</v>
      </c>
      <c r="Q87" s="4" t="s">
        <v>562</v>
      </c>
    </row>
    <row r="88" spans="1:17" ht="17.399999999999999">
      <c r="A88" s="58">
        <v>552</v>
      </c>
      <c r="B88" s="56" t="s">
        <v>393</v>
      </c>
      <c r="C88" s="67" t="s">
        <v>394</v>
      </c>
      <c r="D88" s="53">
        <v>40077</v>
      </c>
      <c r="E88" s="37" t="str">
        <f t="shared" ca="1" si="3"/>
        <v>16 Y    4 M</v>
      </c>
      <c r="F88" s="11">
        <v>200923401602</v>
      </c>
      <c r="G88" s="69"/>
      <c r="H88" s="72" t="s">
        <v>140</v>
      </c>
      <c r="I88" s="42"/>
      <c r="J88" s="5">
        <v>3</v>
      </c>
      <c r="K88" s="6" t="e">
        <f t="shared" si="4"/>
        <v>#N/A</v>
      </c>
      <c r="L88" s="6" t="e">
        <f t="shared" si="5"/>
        <v>#N/A</v>
      </c>
      <c r="M88" s="84"/>
      <c r="N88" s="40" t="s">
        <v>573</v>
      </c>
      <c r="O88" s="77" t="s">
        <v>137</v>
      </c>
      <c r="P88" s="12" t="s">
        <v>244</v>
      </c>
      <c r="Q88" s="4">
        <v>774595259</v>
      </c>
    </row>
    <row r="89" spans="1:17" ht="17.399999999999999">
      <c r="A89" s="58">
        <v>553</v>
      </c>
      <c r="B89" s="56" t="s">
        <v>378</v>
      </c>
      <c r="C89" s="67" t="s">
        <v>395</v>
      </c>
      <c r="D89" s="53">
        <v>40913</v>
      </c>
      <c r="E89" s="37" t="str">
        <f t="shared" ca="1" si="3"/>
        <v>14 Y    1 M</v>
      </c>
      <c r="F89" s="11"/>
      <c r="G89" s="69"/>
      <c r="H89" s="72" t="s">
        <v>140</v>
      </c>
      <c r="I89" s="42" t="s">
        <v>115</v>
      </c>
      <c r="J89" s="5">
        <v>3</v>
      </c>
      <c r="K89" s="6" t="e">
        <f t="shared" si="4"/>
        <v>#N/A</v>
      </c>
      <c r="L89" s="6" t="e">
        <f t="shared" si="5"/>
        <v>#N/A</v>
      </c>
      <c r="M89" s="84"/>
      <c r="N89" s="40" t="s">
        <v>573</v>
      </c>
      <c r="O89" s="77" t="s">
        <v>137</v>
      </c>
      <c r="P89" s="12" t="s">
        <v>187</v>
      </c>
      <c r="Q89" s="4" t="s">
        <v>563</v>
      </c>
    </row>
    <row r="90" spans="1:17" ht="17.399999999999999">
      <c r="A90" s="58">
        <v>555</v>
      </c>
      <c r="B90" s="56" t="s">
        <v>86</v>
      </c>
      <c r="C90" s="67" t="s">
        <v>507</v>
      </c>
      <c r="D90" s="53">
        <v>41076</v>
      </c>
      <c r="E90" s="37" t="str">
        <f t="shared" ca="1" si="3"/>
        <v>13 Y    7 M</v>
      </c>
      <c r="F90" s="11"/>
      <c r="G90" s="69" t="s">
        <v>245</v>
      </c>
      <c r="H90" s="72" t="s">
        <v>140</v>
      </c>
      <c r="I90" s="42"/>
      <c r="J90" s="5" t="s">
        <v>104</v>
      </c>
      <c r="K90" s="6" t="e">
        <f t="shared" si="4"/>
        <v>#N/A</v>
      </c>
      <c r="L90" s="6" t="e">
        <f t="shared" si="5"/>
        <v>#N/A</v>
      </c>
      <c r="M90" s="84"/>
      <c r="N90" s="40" t="s">
        <v>162</v>
      </c>
      <c r="O90" s="77" t="s">
        <v>137</v>
      </c>
      <c r="P90" s="12" t="s">
        <v>246</v>
      </c>
      <c r="Q90" s="4" t="s">
        <v>247</v>
      </c>
    </row>
    <row r="91" spans="1:17" ht="17.399999999999999">
      <c r="A91" s="58">
        <v>558</v>
      </c>
      <c r="B91" s="56" t="s">
        <v>87</v>
      </c>
      <c r="C91" s="67" t="s">
        <v>508</v>
      </c>
      <c r="D91" s="53"/>
      <c r="E91" s="37"/>
      <c r="F91" s="11"/>
      <c r="G91" s="69" t="s">
        <v>248</v>
      </c>
      <c r="H91" s="72" t="s">
        <v>140</v>
      </c>
      <c r="I91" s="42"/>
      <c r="J91" s="5" t="s">
        <v>104</v>
      </c>
      <c r="K91" s="6" t="e">
        <f t="shared" si="4"/>
        <v>#N/A</v>
      </c>
      <c r="L91" s="6" t="e">
        <f t="shared" si="5"/>
        <v>#N/A</v>
      </c>
      <c r="M91" s="84"/>
      <c r="N91" s="40" t="s">
        <v>162</v>
      </c>
      <c r="O91" s="77" t="s">
        <v>137</v>
      </c>
      <c r="P91" s="12" t="s">
        <v>249</v>
      </c>
      <c r="Q91" s="4">
        <v>0</v>
      </c>
    </row>
    <row r="92" spans="1:17" ht="17.399999999999999">
      <c r="A92" s="58">
        <v>559</v>
      </c>
      <c r="B92" s="56" t="s">
        <v>88</v>
      </c>
      <c r="C92" s="67" t="s">
        <v>402</v>
      </c>
      <c r="D92" s="53">
        <v>40603</v>
      </c>
      <c r="E92" s="37" t="str">
        <f t="shared" ref="E92:E140" ca="1" si="6">DATEDIF(D92, TODAY(), "Y") &amp; " Y    " &amp; DATEDIF(D92, TODAY(), "YM") &amp; " M"</f>
        <v>14 Y    11 M</v>
      </c>
      <c r="F92" s="11"/>
      <c r="G92" s="69">
        <v>45579</v>
      </c>
      <c r="H92" s="72" t="s">
        <v>143</v>
      </c>
      <c r="I92" s="42" t="s">
        <v>114</v>
      </c>
      <c r="J92" s="5" t="s">
        <v>135</v>
      </c>
      <c r="K92" s="6" t="e">
        <f t="shared" si="4"/>
        <v>#N/A</v>
      </c>
      <c r="L92" s="6" t="e">
        <f t="shared" si="5"/>
        <v>#N/A</v>
      </c>
      <c r="M92" s="84"/>
      <c r="N92" s="40" t="s">
        <v>162</v>
      </c>
      <c r="O92" s="77" t="s">
        <v>407</v>
      </c>
      <c r="P92" s="29" t="s">
        <v>434</v>
      </c>
      <c r="Q92" s="4" t="s">
        <v>435</v>
      </c>
    </row>
    <row r="93" spans="1:17" ht="17.399999999999999">
      <c r="A93" s="58">
        <v>560</v>
      </c>
      <c r="B93" s="56" t="s">
        <v>106</v>
      </c>
      <c r="C93" s="67" t="s">
        <v>106</v>
      </c>
      <c r="D93" s="53">
        <v>40973</v>
      </c>
      <c r="E93" s="37" t="str">
        <f t="shared" ca="1" si="6"/>
        <v>13 Y    11 M</v>
      </c>
      <c r="F93" s="11"/>
      <c r="G93" s="69">
        <v>45662</v>
      </c>
      <c r="H93" s="72" t="s">
        <v>140</v>
      </c>
      <c r="I93" s="42"/>
      <c r="J93" s="5" t="s">
        <v>107</v>
      </c>
      <c r="K93" s="6" t="e">
        <f t="shared" si="4"/>
        <v>#N/A</v>
      </c>
      <c r="L93" s="6" t="e">
        <f t="shared" si="5"/>
        <v>#N/A</v>
      </c>
      <c r="M93" s="84"/>
      <c r="N93" s="40" t="s">
        <v>162</v>
      </c>
      <c r="O93" s="77">
        <v>0</v>
      </c>
      <c r="P93" s="29" t="e">
        <f>VLOOKUP(A93,#REF!,15,FALSE)</f>
        <v>#REF!</v>
      </c>
      <c r="Q93" s="4">
        <v>0</v>
      </c>
    </row>
    <row r="94" spans="1:17" ht="17.399999999999999">
      <c r="A94" s="58">
        <v>561</v>
      </c>
      <c r="B94" s="56" t="s">
        <v>89</v>
      </c>
      <c r="C94" s="67" t="s">
        <v>89</v>
      </c>
      <c r="D94" s="53">
        <v>41686</v>
      </c>
      <c r="E94" s="37" t="str">
        <f t="shared" ca="1" si="6"/>
        <v>11 Y    11 M</v>
      </c>
      <c r="F94" s="11"/>
      <c r="G94" s="69">
        <v>45662</v>
      </c>
      <c r="H94" s="72" t="s">
        <v>140</v>
      </c>
      <c r="I94" s="42"/>
      <c r="J94" s="5" t="s">
        <v>107</v>
      </c>
      <c r="K94" s="6" t="e">
        <f t="shared" si="4"/>
        <v>#N/A</v>
      </c>
      <c r="L94" s="6" t="e">
        <f t="shared" si="5"/>
        <v>#N/A</v>
      </c>
      <c r="M94" s="84"/>
      <c r="N94" s="40" t="s">
        <v>162</v>
      </c>
      <c r="O94" s="77">
        <v>0</v>
      </c>
      <c r="P94" s="29" t="e">
        <f>VLOOKUP(A94,#REF!,15,FALSE)</f>
        <v>#REF!</v>
      </c>
      <c r="Q94" s="4">
        <v>0</v>
      </c>
    </row>
    <row r="95" spans="1:17" ht="17.399999999999999">
      <c r="A95" s="58">
        <v>563</v>
      </c>
      <c r="B95" s="56" t="s">
        <v>90</v>
      </c>
      <c r="C95" s="67" t="s">
        <v>509</v>
      </c>
      <c r="D95" s="53"/>
      <c r="E95" s="37" t="str">
        <f t="shared" ca="1" si="6"/>
        <v>126 Y    1 M</v>
      </c>
      <c r="F95" s="11"/>
      <c r="G95" s="69"/>
      <c r="H95" s="72" t="s">
        <v>140</v>
      </c>
      <c r="I95" s="42"/>
      <c r="J95" s="5">
        <v>2</v>
      </c>
      <c r="K95" s="6" t="e">
        <f t="shared" si="4"/>
        <v>#N/A</v>
      </c>
      <c r="L95" s="6" t="e">
        <f t="shared" si="5"/>
        <v>#N/A</v>
      </c>
      <c r="M95" s="84"/>
      <c r="N95" s="40" t="s">
        <v>573</v>
      </c>
      <c r="O95" s="77">
        <v>0</v>
      </c>
      <c r="P95" s="29"/>
      <c r="Q95" s="4">
        <v>0</v>
      </c>
    </row>
    <row r="96" spans="1:17" ht="17.399999999999999">
      <c r="A96" s="58">
        <v>564</v>
      </c>
      <c r="B96" s="56" t="s">
        <v>252</v>
      </c>
      <c r="C96" s="67" t="s">
        <v>510</v>
      </c>
      <c r="D96" s="53">
        <v>40609</v>
      </c>
      <c r="E96" s="37" t="str">
        <f t="shared" ca="1" si="6"/>
        <v>14 Y    10 M</v>
      </c>
      <c r="F96" s="11"/>
      <c r="G96" s="69">
        <v>45662</v>
      </c>
      <c r="H96" s="72" t="s">
        <v>140</v>
      </c>
      <c r="I96" s="42"/>
      <c r="J96" s="5" t="s">
        <v>102</v>
      </c>
      <c r="K96" s="6" t="e">
        <f t="shared" si="4"/>
        <v>#N/A</v>
      </c>
      <c r="L96" s="6" t="e">
        <f t="shared" si="5"/>
        <v>#N/A</v>
      </c>
      <c r="M96" s="84"/>
      <c r="N96" s="40" t="s">
        <v>162</v>
      </c>
      <c r="O96" s="77">
        <v>0</v>
      </c>
      <c r="P96" s="29"/>
      <c r="Q96" s="4">
        <v>0</v>
      </c>
    </row>
    <row r="97" spans="1:17" ht="17.399999999999999">
      <c r="A97" s="58">
        <v>566</v>
      </c>
      <c r="B97" s="56" t="s">
        <v>117</v>
      </c>
      <c r="C97" s="67" t="s">
        <v>91</v>
      </c>
      <c r="D97" s="53">
        <v>41388</v>
      </c>
      <c r="E97" s="37" t="str">
        <f t="shared" ca="1" si="6"/>
        <v>12 Y    9 M</v>
      </c>
      <c r="F97" s="11"/>
      <c r="G97" s="69">
        <v>45662</v>
      </c>
      <c r="H97" s="72" t="s">
        <v>140</v>
      </c>
      <c r="I97" s="42"/>
      <c r="J97" s="5" t="s">
        <v>101</v>
      </c>
      <c r="K97" s="6" t="e">
        <f t="shared" si="4"/>
        <v>#N/A</v>
      </c>
      <c r="L97" s="6" t="e">
        <f t="shared" si="5"/>
        <v>#N/A</v>
      </c>
      <c r="M97" s="84"/>
      <c r="N97" s="40" t="s">
        <v>162</v>
      </c>
      <c r="O97" s="77">
        <v>0</v>
      </c>
      <c r="P97" s="29"/>
      <c r="Q97" s="4">
        <v>0</v>
      </c>
    </row>
    <row r="98" spans="1:17" ht="17.399999999999999">
      <c r="A98" s="58">
        <v>568</v>
      </c>
      <c r="B98" s="56" t="s">
        <v>118</v>
      </c>
      <c r="C98" s="67" t="s">
        <v>511</v>
      </c>
      <c r="D98" s="53">
        <v>41572</v>
      </c>
      <c r="E98" s="37" t="str">
        <f t="shared" ca="1" si="6"/>
        <v>12 Y    3 M</v>
      </c>
      <c r="F98" s="11"/>
      <c r="G98" s="69">
        <v>45662</v>
      </c>
      <c r="H98" s="72" t="s">
        <v>143</v>
      </c>
      <c r="I98" s="42" t="s">
        <v>114</v>
      </c>
      <c r="J98" s="5" t="s">
        <v>107</v>
      </c>
      <c r="K98" s="6" t="e">
        <f t="shared" si="4"/>
        <v>#N/A</v>
      </c>
      <c r="L98" s="6" t="e">
        <f t="shared" si="5"/>
        <v>#N/A</v>
      </c>
      <c r="M98" s="84"/>
      <c r="N98" s="40" t="s">
        <v>162</v>
      </c>
      <c r="O98" s="77">
        <v>0</v>
      </c>
      <c r="P98" s="29" t="e">
        <f>VLOOKUP(A98,#REF!,15,FALSE)</f>
        <v>#REF!</v>
      </c>
      <c r="Q98" s="4">
        <v>0</v>
      </c>
    </row>
    <row r="99" spans="1:17" ht="17.399999999999999">
      <c r="A99" s="58">
        <v>570</v>
      </c>
      <c r="B99" s="56" t="s">
        <v>119</v>
      </c>
      <c r="C99" s="67" t="s">
        <v>512</v>
      </c>
      <c r="D99" s="53">
        <v>41443</v>
      </c>
      <c r="E99" s="37" t="str">
        <f t="shared" ca="1" si="6"/>
        <v>12 Y    7 M</v>
      </c>
      <c r="F99" s="11"/>
      <c r="G99" s="69">
        <v>45662</v>
      </c>
      <c r="H99" s="72" t="s">
        <v>140</v>
      </c>
      <c r="I99" s="42"/>
      <c r="J99" s="5" t="s">
        <v>107</v>
      </c>
      <c r="K99" s="6" t="e">
        <f>C2=VLOOKUP(J99,$A$162:$B$179,2,FALSE)</f>
        <v>#N/A</v>
      </c>
      <c r="L99" s="6" t="e">
        <f t="shared" si="5"/>
        <v>#N/A</v>
      </c>
      <c r="M99" s="84"/>
      <c r="N99" s="40" t="s">
        <v>162</v>
      </c>
      <c r="O99" s="77">
        <v>0</v>
      </c>
      <c r="P99" s="29" t="e">
        <f>VLOOKUP(A99,#REF!,15,FALSE)</f>
        <v>#REF!</v>
      </c>
      <c r="Q99" s="4">
        <v>0</v>
      </c>
    </row>
    <row r="100" spans="1:17" ht="17.399999999999999">
      <c r="A100" s="58">
        <v>572</v>
      </c>
      <c r="B100" s="56" t="s">
        <v>120</v>
      </c>
      <c r="C100" s="67" t="s">
        <v>513</v>
      </c>
      <c r="D100" s="53">
        <v>41923</v>
      </c>
      <c r="E100" s="37" t="str">
        <f t="shared" ca="1" si="6"/>
        <v>11 Y    3 M</v>
      </c>
      <c r="F100" s="11"/>
      <c r="G100" s="69">
        <v>45662</v>
      </c>
      <c r="H100" s="72" t="s">
        <v>140</v>
      </c>
      <c r="I100" s="42"/>
      <c r="J100" s="5" t="s">
        <v>101</v>
      </c>
      <c r="K100" s="6" t="e">
        <f t="shared" si="4"/>
        <v>#N/A</v>
      </c>
      <c r="L100" s="6" t="e">
        <f t="shared" si="5"/>
        <v>#N/A</v>
      </c>
      <c r="M100" s="84"/>
      <c r="N100" s="40" t="s">
        <v>162</v>
      </c>
      <c r="O100" s="77">
        <v>0</v>
      </c>
      <c r="P100" s="29"/>
      <c r="Q100" s="4">
        <v>0</v>
      </c>
    </row>
    <row r="101" spans="1:17" ht="17.399999999999999">
      <c r="A101" s="58">
        <v>573</v>
      </c>
      <c r="B101" s="56" t="s">
        <v>121</v>
      </c>
      <c r="C101" s="67" t="s">
        <v>514</v>
      </c>
      <c r="D101" s="53">
        <v>41601</v>
      </c>
      <c r="E101" s="37" t="str">
        <f t="shared" ca="1" si="6"/>
        <v>12 Y    2 M</v>
      </c>
      <c r="F101" s="11"/>
      <c r="G101" s="69">
        <v>45662</v>
      </c>
      <c r="H101" s="72" t="s">
        <v>140</v>
      </c>
      <c r="I101" s="42"/>
      <c r="J101" s="5" t="s">
        <v>107</v>
      </c>
      <c r="K101" s="6" t="e">
        <f t="shared" si="4"/>
        <v>#N/A</v>
      </c>
      <c r="L101" s="6" t="e">
        <f t="shared" si="5"/>
        <v>#N/A</v>
      </c>
      <c r="M101" s="84"/>
      <c r="N101" s="40" t="s">
        <v>162</v>
      </c>
      <c r="O101" s="77">
        <v>0</v>
      </c>
      <c r="P101" s="29" t="e">
        <f>VLOOKUP(A101,#REF!,15,FALSE)</f>
        <v>#REF!</v>
      </c>
      <c r="Q101" s="4">
        <v>0</v>
      </c>
    </row>
    <row r="102" spans="1:17" ht="17.399999999999999">
      <c r="A102" s="58">
        <v>574</v>
      </c>
      <c r="B102" s="56" t="s">
        <v>122</v>
      </c>
      <c r="C102" s="57" t="s">
        <v>515</v>
      </c>
      <c r="D102" s="53">
        <v>41731</v>
      </c>
      <c r="E102" s="37" t="str">
        <f t="shared" ca="1" si="6"/>
        <v>11 Y    10 M</v>
      </c>
      <c r="F102" s="11"/>
      <c r="G102" s="69">
        <v>45662</v>
      </c>
      <c r="H102" s="72" t="s">
        <v>140</v>
      </c>
      <c r="I102" s="42"/>
      <c r="J102" s="5" t="s">
        <v>107</v>
      </c>
      <c r="K102" s="6" t="e">
        <f t="shared" si="4"/>
        <v>#N/A</v>
      </c>
      <c r="L102" s="6" t="e">
        <f t="shared" si="5"/>
        <v>#N/A</v>
      </c>
      <c r="M102" s="84"/>
      <c r="N102" s="40" t="s">
        <v>162</v>
      </c>
      <c r="O102" s="77">
        <v>0</v>
      </c>
      <c r="P102" s="29" t="e">
        <f>VLOOKUP(A102,#REF!,15,FALSE)</f>
        <v>#REF!</v>
      </c>
      <c r="Q102" s="4">
        <v>0</v>
      </c>
    </row>
    <row r="103" spans="1:17" ht="17.399999999999999">
      <c r="A103" s="58">
        <v>575</v>
      </c>
      <c r="B103" s="56" t="s">
        <v>123</v>
      </c>
      <c r="C103" s="57" t="s">
        <v>516</v>
      </c>
      <c r="D103" s="53">
        <v>41913</v>
      </c>
      <c r="E103" s="37" t="str">
        <f t="shared" ca="1" si="6"/>
        <v>11 Y    4 M</v>
      </c>
      <c r="F103" s="11"/>
      <c r="G103" s="69">
        <v>45662</v>
      </c>
      <c r="H103" s="72" t="s">
        <v>140</v>
      </c>
      <c r="I103" s="42"/>
      <c r="J103" s="5" t="s">
        <v>102</v>
      </c>
      <c r="K103" s="6" t="e">
        <f t="shared" si="4"/>
        <v>#N/A</v>
      </c>
      <c r="L103" s="6" t="e">
        <f t="shared" si="5"/>
        <v>#N/A</v>
      </c>
      <c r="M103" s="84"/>
      <c r="N103" s="40" t="s">
        <v>162</v>
      </c>
      <c r="O103" s="77">
        <v>0</v>
      </c>
      <c r="P103" s="29"/>
      <c r="Q103" s="4">
        <v>0</v>
      </c>
    </row>
    <row r="104" spans="1:17" ht="17.399999999999999">
      <c r="A104" s="58">
        <v>576</v>
      </c>
      <c r="B104" s="56" t="s">
        <v>124</v>
      </c>
      <c r="C104" s="57" t="s">
        <v>517</v>
      </c>
      <c r="D104" s="53">
        <v>41033</v>
      </c>
      <c r="E104" s="37" t="str">
        <f t="shared" ca="1" si="6"/>
        <v>13 Y    9 M</v>
      </c>
      <c r="F104" s="11"/>
      <c r="G104" s="69">
        <v>45662</v>
      </c>
      <c r="H104" s="72" t="s">
        <v>140</v>
      </c>
      <c r="I104" s="42"/>
      <c r="J104" s="5" t="s">
        <v>107</v>
      </c>
      <c r="K104" s="6" t="e">
        <f t="shared" si="4"/>
        <v>#N/A</v>
      </c>
      <c r="L104" s="6" t="e">
        <f t="shared" si="5"/>
        <v>#N/A</v>
      </c>
      <c r="M104" s="84"/>
      <c r="N104" s="40" t="s">
        <v>162</v>
      </c>
      <c r="O104" s="77">
        <v>0</v>
      </c>
      <c r="P104" s="29" t="e">
        <f>VLOOKUP(A104,#REF!,15,FALSE)</f>
        <v>#REF!</v>
      </c>
      <c r="Q104" s="4">
        <v>0</v>
      </c>
    </row>
    <row r="105" spans="1:17" ht="17.399999999999999">
      <c r="A105" s="58">
        <v>577</v>
      </c>
      <c r="B105" s="56" t="s">
        <v>125</v>
      </c>
      <c r="C105" s="57" t="s">
        <v>518</v>
      </c>
      <c r="D105" s="53">
        <v>41796</v>
      </c>
      <c r="E105" s="37" t="str">
        <f t="shared" ca="1" si="6"/>
        <v>11 Y    7 M</v>
      </c>
      <c r="F105" s="11"/>
      <c r="G105" s="69">
        <v>45669</v>
      </c>
      <c r="H105" s="72" t="s">
        <v>140</v>
      </c>
      <c r="I105" s="42"/>
      <c r="J105" s="5" t="s">
        <v>101</v>
      </c>
      <c r="K105" s="6" t="e">
        <f t="shared" si="4"/>
        <v>#N/A</v>
      </c>
      <c r="L105" s="6" t="e">
        <f t="shared" si="5"/>
        <v>#N/A</v>
      </c>
      <c r="M105" s="84"/>
      <c r="N105" s="40" t="s">
        <v>162</v>
      </c>
      <c r="O105" s="77">
        <v>0</v>
      </c>
      <c r="P105" s="29"/>
      <c r="Q105" s="4">
        <v>0</v>
      </c>
    </row>
    <row r="106" spans="1:17" ht="17.399999999999999">
      <c r="A106" s="58">
        <v>578</v>
      </c>
      <c r="B106" s="56" t="s">
        <v>126</v>
      </c>
      <c r="C106" s="57" t="s">
        <v>92</v>
      </c>
      <c r="D106" s="53">
        <v>41496</v>
      </c>
      <c r="E106" s="37" t="str">
        <f t="shared" ca="1" si="6"/>
        <v>12 Y    5 M</v>
      </c>
      <c r="F106" s="11"/>
      <c r="G106" s="69">
        <v>45669</v>
      </c>
      <c r="H106" s="72" t="s">
        <v>143</v>
      </c>
      <c r="I106" s="42" t="s">
        <v>114</v>
      </c>
      <c r="J106" s="5" t="s">
        <v>101</v>
      </c>
      <c r="K106" s="6" t="e">
        <f t="shared" si="4"/>
        <v>#N/A</v>
      </c>
      <c r="L106" s="6" t="e">
        <f t="shared" si="5"/>
        <v>#N/A</v>
      </c>
      <c r="M106" s="84"/>
      <c r="N106" s="40" t="s">
        <v>162</v>
      </c>
      <c r="O106" s="77">
        <v>0</v>
      </c>
      <c r="P106" s="29" t="s">
        <v>437</v>
      </c>
      <c r="Q106" s="4">
        <v>0</v>
      </c>
    </row>
    <row r="107" spans="1:17" ht="17.399999999999999">
      <c r="A107" s="58">
        <v>579</v>
      </c>
      <c r="B107" s="56" t="s">
        <v>127</v>
      </c>
      <c r="C107" s="57" t="s">
        <v>93</v>
      </c>
      <c r="D107" s="53">
        <v>41518</v>
      </c>
      <c r="E107" s="37" t="str">
        <f t="shared" ca="1" si="6"/>
        <v>12 Y    5 M</v>
      </c>
      <c r="F107" s="11"/>
      <c r="G107" s="69">
        <v>45669</v>
      </c>
      <c r="H107" s="72" t="s">
        <v>140</v>
      </c>
      <c r="I107" s="42"/>
      <c r="J107" s="5" t="s">
        <v>135</v>
      </c>
      <c r="K107" s="6" t="e">
        <f t="shared" si="4"/>
        <v>#N/A</v>
      </c>
      <c r="L107" s="6" t="e">
        <f t="shared" si="5"/>
        <v>#N/A</v>
      </c>
      <c r="M107" s="84"/>
      <c r="N107" s="40" t="s">
        <v>162</v>
      </c>
      <c r="O107" s="77">
        <v>0</v>
      </c>
      <c r="P107" s="29" t="e">
        <f>VLOOKUP(A107,#REF!,15,FALSE)</f>
        <v>#REF!</v>
      </c>
      <c r="Q107" s="4">
        <v>0</v>
      </c>
    </row>
    <row r="108" spans="1:17" ht="17.399999999999999">
      <c r="A108" s="58">
        <v>581</v>
      </c>
      <c r="B108" s="56" t="s">
        <v>94</v>
      </c>
      <c r="C108" s="57" t="s">
        <v>94</v>
      </c>
      <c r="D108" s="53">
        <v>41585</v>
      </c>
      <c r="E108" s="37" t="str">
        <f t="shared" ca="1" si="6"/>
        <v>12 Y    2 M</v>
      </c>
      <c r="F108" s="11"/>
      <c r="G108" s="69">
        <v>45669</v>
      </c>
      <c r="H108" s="72" t="s">
        <v>140</v>
      </c>
      <c r="I108" s="42"/>
      <c r="J108" s="5" t="s">
        <v>102</v>
      </c>
      <c r="K108" s="6" t="e">
        <f t="shared" si="4"/>
        <v>#N/A</v>
      </c>
      <c r="L108" s="6" t="e">
        <f t="shared" si="5"/>
        <v>#N/A</v>
      </c>
      <c r="M108" s="84"/>
      <c r="N108" s="40" t="s">
        <v>162</v>
      </c>
      <c r="O108" s="77">
        <v>0</v>
      </c>
      <c r="P108" s="29"/>
      <c r="Q108" s="4">
        <v>0</v>
      </c>
    </row>
    <row r="109" spans="1:17" ht="17.399999999999999">
      <c r="A109" s="58">
        <v>583</v>
      </c>
      <c r="B109" s="56" t="s">
        <v>128</v>
      </c>
      <c r="C109" s="57" t="s">
        <v>95</v>
      </c>
      <c r="D109" s="53">
        <v>41209</v>
      </c>
      <c r="E109" s="37" t="str">
        <f t="shared" ca="1" si="6"/>
        <v>13 Y    3 M</v>
      </c>
      <c r="F109" s="11"/>
      <c r="G109" s="69">
        <v>45692</v>
      </c>
      <c r="H109" s="72" t="s">
        <v>143</v>
      </c>
      <c r="I109" s="42" t="s">
        <v>114</v>
      </c>
      <c r="J109" s="5" t="s">
        <v>101</v>
      </c>
      <c r="K109" s="6" t="e">
        <f t="shared" si="4"/>
        <v>#N/A</v>
      </c>
      <c r="L109" s="6" t="e">
        <f t="shared" si="5"/>
        <v>#N/A</v>
      </c>
      <c r="M109" s="84"/>
      <c r="N109" s="40" t="s">
        <v>162</v>
      </c>
      <c r="O109" s="77">
        <v>0</v>
      </c>
      <c r="P109" s="29" t="s">
        <v>436</v>
      </c>
      <c r="Q109" s="4">
        <v>0</v>
      </c>
    </row>
    <row r="110" spans="1:17" ht="17.399999999999999">
      <c r="A110" s="58">
        <v>584</v>
      </c>
      <c r="B110" s="56" t="s">
        <v>129</v>
      </c>
      <c r="C110" s="57" t="s">
        <v>519</v>
      </c>
      <c r="D110" s="53"/>
      <c r="E110" s="37" t="str">
        <f t="shared" ca="1" si="6"/>
        <v>126 Y    1 M</v>
      </c>
      <c r="F110" s="11"/>
      <c r="G110" s="69"/>
      <c r="H110" s="72" t="s">
        <v>140</v>
      </c>
      <c r="I110" s="42"/>
      <c r="J110" s="5">
        <v>2</v>
      </c>
      <c r="K110" s="6" t="e">
        <f t="shared" si="4"/>
        <v>#N/A</v>
      </c>
      <c r="L110" s="6" t="e">
        <f t="shared" si="5"/>
        <v>#N/A</v>
      </c>
      <c r="M110" s="84"/>
      <c r="N110" s="40" t="s">
        <v>573</v>
      </c>
      <c r="O110" s="77">
        <v>0</v>
      </c>
      <c r="P110" s="29"/>
      <c r="Q110" s="4">
        <v>0</v>
      </c>
    </row>
    <row r="111" spans="1:17" ht="17.399999999999999">
      <c r="A111" s="58">
        <v>585</v>
      </c>
      <c r="B111" s="56" t="s">
        <v>130</v>
      </c>
      <c r="C111" s="57" t="s">
        <v>109</v>
      </c>
      <c r="D111" s="53">
        <v>41993</v>
      </c>
      <c r="E111" s="37" t="str">
        <f t="shared" ca="1" si="6"/>
        <v>11 Y    1 M</v>
      </c>
      <c r="F111" s="11"/>
      <c r="G111" s="69">
        <v>45706</v>
      </c>
      <c r="H111" s="72" t="s">
        <v>140</v>
      </c>
      <c r="I111" s="42"/>
      <c r="J111" s="5" t="s">
        <v>104</v>
      </c>
      <c r="K111" s="6" t="e">
        <f t="shared" si="4"/>
        <v>#N/A</v>
      </c>
      <c r="L111" s="6" t="e">
        <f t="shared" si="5"/>
        <v>#N/A</v>
      </c>
      <c r="M111" s="84"/>
      <c r="N111" s="40" t="s">
        <v>162</v>
      </c>
      <c r="O111" s="77">
        <v>0</v>
      </c>
      <c r="P111" s="29"/>
      <c r="Q111" s="4">
        <v>0</v>
      </c>
    </row>
    <row r="112" spans="1:17" ht="17.399999999999999">
      <c r="A112" s="58">
        <v>587</v>
      </c>
      <c r="B112" s="56" t="s">
        <v>131</v>
      </c>
      <c r="C112" s="57" t="s">
        <v>520</v>
      </c>
      <c r="D112" s="53">
        <v>41164</v>
      </c>
      <c r="E112" s="37" t="str">
        <f t="shared" ca="1" si="6"/>
        <v>13 Y    4 M</v>
      </c>
      <c r="F112" s="11"/>
      <c r="G112" s="69">
        <v>45710</v>
      </c>
      <c r="H112" s="72" t="s">
        <v>143</v>
      </c>
      <c r="I112" s="42" t="s">
        <v>114</v>
      </c>
      <c r="J112" s="5" t="s">
        <v>107</v>
      </c>
      <c r="K112" s="6" t="e">
        <f t="shared" si="4"/>
        <v>#N/A</v>
      </c>
      <c r="L112" s="6" t="e">
        <f t="shared" si="5"/>
        <v>#N/A</v>
      </c>
      <c r="M112" s="84"/>
      <c r="N112" s="40" t="s">
        <v>162</v>
      </c>
      <c r="O112" s="77">
        <v>0</v>
      </c>
      <c r="P112" s="29" t="e">
        <f>VLOOKUP(A112,#REF!,15,FALSE)</f>
        <v>#REF!</v>
      </c>
      <c r="Q112" s="4">
        <v>0</v>
      </c>
    </row>
    <row r="113" spans="1:17" ht="17.399999999999999">
      <c r="A113" s="58">
        <v>589</v>
      </c>
      <c r="B113" s="56" t="s">
        <v>132</v>
      </c>
      <c r="C113" s="57" t="s">
        <v>108</v>
      </c>
      <c r="D113" s="53">
        <v>41727</v>
      </c>
      <c r="E113" s="37" t="str">
        <f t="shared" ca="1" si="6"/>
        <v>11 Y    10 M</v>
      </c>
      <c r="F113" s="11"/>
      <c r="G113" s="69">
        <v>45767</v>
      </c>
      <c r="H113" s="72" t="s">
        <v>140</v>
      </c>
      <c r="I113" s="42"/>
      <c r="J113" s="5" t="s">
        <v>107</v>
      </c>
      <c r="K113" s="6" t="e">
        <f t="shared" si="4"/>
        <v>#N/A</v>
      </c>
      <c r="L113" s="6" t="e">
        <f t="shared" si="5"/>
        <v>#N/A</v>
      </c>
      <c r="M113" s="84"/>
      <c r="N113" s="40" t="s">
        <v>162</v>
      </c>
      <c r="O113" s="77">
        <v>0</v>
      </c>
      <c r="P113" s="29" t="e">
        <f>VLOOKUP(A113,#REF!,15,FALSE)</f>
        <v>#REF!</v>
      </c>
      <c r="Q113" s="4">
        <v>0</v>
      </c>
    </row>
    <row r="114" spans="1:17" ht="17.399999999999999">
      <c r="A114" s="58">
        <v>590</v>
      </c>
      <c r="B114" s="56" t="s">
        <v>133</v>
      </c>
      <c r="C114" s="57" t="s">
        <v>521</v>
      </c>
      <c r="D114" s="53">
        <v>41277</v>
      </c>
      <c r="E114" s="37" t="str">
        <f t="shared" ca="1" si="6"/>
        <v>13 Y    1 M</v>
      </c>
      <c r="F114" s="11"/>
      <c r="G114" s="69">
        <v>45777</v>
      </c>
      <c r="H114" s="72" t="s">
        <v>140</v>
      </c>
      <c r="I114" s="42"/>
      <c r="J114" s="5" t="s">
        <v>107</v>
      </c>
      <c r="K114" s="6" t="e">
        <f t="shared" si="4"/>
        <v>#N/A</v>
      </c>
      <c r="L114" s="6" t="e">
        <f t="shared" si="5"/>
        <v>#N/A</v>
      </c>
      <c r="M114" s="84"/>
      <c r="N114" s="40" t="s">
        <v>162</v>
      </c>
      <c r="O114" s="77">
        <v>0</v>
      </c>
      <c r="P114" s="29" t="e">
        <f>VLOOKUP(A114,#REF!,15,FALSE)</f>
        <v>#REF!</v>
      </c>
      <c r="Q114" s="4">
        <v>0</v>
      </c>
    </row>
    <row r="115" spans="1:17" ht="17.399999999999999">
      <c r="A115" s="58">
        <v>591</v>
      </c>
      <c r="B115" s="56" t="s">
        <v>134</v>
      </c>
      <c r="C115" s="57" t="s">
        <v>522</v>
      </c>
      <c r="D115" s="53">
        <v>41950</v>
      </c>
      <c r="E115" s="37" t="str">
        <f t="shared" ca="1" si="6"/>
        <v>11 Y    2 M</v>
      </c>
      <c r="F115" s="11"/>
      <c r="G115" s="69">
        <v>45794</v>
      </c>
      <c r="H115" s="72" t="s">
        <v>140</v>
      </c>
      <c r="I115" s="42"/>
      <c r="J115" s="5" t="s">
        <v>135</v>
      </c>
      <c r="K115" s="6" t="e">
        <f t="shared" si="4"/>
        <v>#N/A</v>
      </c>
      <c r="L115" s="6" t="e">
        <f t="shared" si="5"/>
        <v>#N/A</v>
      </c>
      <c r="M115" s="87"/>
      <c r="N115" s="40" t="s">
        <v>162</v>
      </c>
      <c r="O115" s="77">
        <v>0</v>
      </c>
      <c r="P115" s="29" t="e">
        <f>VLOOKUP(A115,#REF!,15,FALSE)</f>
        <v>#REF!</v>
      </c>
      <c r="Q115" s="4">
        <v>0</v>
      </c>
    </row>
    <row r="116" spans="1:17" ht="17.399999999999999">
      <c r="A116" s="58">
        <v>592</v>
      </c>
      <c r="B116" s="56" t="s">
        <v>443</v>
      </c>
      <c r="C116" s="57" t="s">
        <v>444</v>
      </c>
      <c r="D116" s="53">
        <v>41335</v>
      </c>
      <c r="E116" s="37" t="str">
        <f t="shared" ca="1" si="6"/>
        <v>12 Y    11 M</v>
      </c>
      <c r="F116" s="11"/>
      <c r="G116" s="69">
        <v>46029</v>
      </c>
      <c r="H116" s="72" t="s">
        <v>140</v>
      </c>
      <c r="I116" s="42"/>
      <c r="J116" s="5" t="s">
        <v>564</v>
      </c>
      <c r="K116" s="6" t="e">
        <f t="shared" si="4"/>
        <v>#N/A</v>
      </c>
      <c r="L116" s="6" t="e">
        <f t="shared" si="5"/>
        <v>#N/A</v>
      </c>
      <c r="M116" s="84">
        <v>6</v>
      </c>
      <c r="N116" s="40" t="s">
        <v>162</v>
      </c>
      <c r="O116" s="77" t="s">
        <v>137</v>
      </c>
      <c r="P116" s="12" t="s">
        <v>445</v>
      </c>
      <c r="Q116" s="4" t="s">
        <v>446</v>
      </c>
    </row>
    <row r="117" spans="1:17" ht="17.399999999999999">
      <c r="A117" s="58">
        <v>593</v>
      </c>
      <c r="B117" s="56" t="s">
        <v>447</v>
      </c>
      <c r="C117" s="57" t="s">
        <v>448</v>
      </c>
      <c r="D117" s="53">
        <v>42074</v>
      </c>
      <c r="E117" s="37" t="str">
        <f t="shared" ca="1" si="6"/>
        <v>10 Y    10 M</v>
      </c>
      <c r="F117" s="11"/>
      <c r="G117" s="69">
        <v>46029</v>
      </c>
      <c r="H117" s="72" t="s">
        <v>140</v>
      </c>
      <c r="I117" s="42"/>
      <c r="J117" s="5" t="s">
        <v>564</v>
      </c>
      <c r="K117" s="6" t="e">
        <f t="shared" si="4"/>
        <v>#N/A</v>
      </c>
      <c r="L117" s="6" t="e">
        <f t="shared" si="5"/>
        <v>#N/A</v>
      </c>
      <c r="M117" s="84">
        <v>6</v>
      </c>
      <c r="N117" s="40" t="s">
        <v>162</v>
      </c>
      <c r="O117" s="77" t="s">
        <v>137</v>
      </c>
      <c r="P117" s="12" t="s">
        <v>449</v>
      </c>
      <c r="Q117" s="4" t="s">
        <v>450</v>
      </c>
    </row>
    <row r="118" spans="1:17" ht="17.399999999999999">
      <c r="A118" s="58">
        <v>594</v>
      </c>
      <c r="B118" s="56" t="s">
        <v>261</v>
      </c>
      <c r="C118" s="57" t="s">
        <v>410</v>
      </c>
      <c r="D118" s="53">
        <v>40844</v>
      </c>
      <c r="E118" s="37" t="str">
        <f t="shared" ca="1" si="6"/>
        <v>14 Y    3 M</v>
      </c>
      <c r="F118" s="11"/>
      <c r="G118" s="69">
        <v>46204</v>
      </c>
      <c r="H118" s="72" t="s">
        <v>140</v>
      </c>
      <c r="I118" s="42"/>
      <c r="J118" s="5">
        <v>1</v>
      </c>
      <c r="K118" s="6" t="e">
        <f t="shared" si="4"/>
        <v>#N/A</v>
      </c>
      <c r="L118" s="6" t="e">
        <f t="shared" si="5"/>
        <v>#N/A</v>
      </c>
      <c r="M118" s="84">
        <v>9</v>
      </c>
      <c r="N118" s="40" t="s">
        <v>573</v>
      </c>
      <c r="O118" s="77" t="s">
        <v>137</v>
      </c>
      <c r="P118" s="29" t="s">
        <v>411</v>
      </c>
      <c r="Q118" s="4">
        <v>777125297</v>
      </c>
    </row>
    <row r="119" spans="1:17" ht="17.399999999999999">
      <c r="A119" s="58">
        <v>595</v>
      </c>
      <c r="B119" s="56" t="s">
        <v>451</v>
      </c>
      <c r="C119" s="57" t="s">
        <v>452</v>
      </c>
      <c r="D119" s="53">
        <v>41961</v>
      </c>
      <c r="E119" s="37" t="str">
        <f t="shared" ca="1" si="6"/>
        <v>11 Y    2 M</v>
      </c>
      <c r="F119" s="11"/>
      <c r="G119" s="69">
        <v>46029</v>
      </c>
      <c r="H119" s="72" t="s">
        <v>140</v>
      </c>
      <c r="I119" s="42"/>
      <c r="J119" s="5" t="s">
        <v>564</v>
      </c>
      <c r="K119" s="6" t="e">
        <f t="shared" si="4"/>
        <v>#N/A</v>
      </c>
      <c r="L119" s="6" t="e">
        <f t="shared" si="5"/>
        <v>#N/A</v>
      </c>
      <c r="M119" s="84">
        <v>6</v>
      </c>
      <c r="N119" s="40" t="s">
        <v>162</v>
      </c>
      <c r="O119" s="77" t="s">
        <v>137</v>
      </c>
      <c r="P119" s="29" t="s">
        <v>411</v>
      </c>
      <c r="Q119" s="4">
        <v>777125297</v>
      </c>
    </row>
    <row r="120" spans="1:17" ht="17.399999999999999">
      <c r="A120" s="58">
        <v>596</v>
      </c>
      <c r="B120" s="56" t="s">
        <v>260</v>
      </c>
      <c r="C120" s="57" t="s">
        <v>403</v>
      </c>
      <c r="D120" s="53">
        <v>41194</v>
      </c>
      <c r="E120" s="37" t="str">
        <f t="shared" ca="1" si="6"/>
        <v>13 Y    3 M</v>
      </c>
      <c r="F120" s="11"/>
      <c r="G120" s="69">
        <v>46204</v>
      </c>
      <c r="H120" s="72" t="s">
        <v>143</v>
      </c>
      <c r="I120" s="42" t="s">
        <v>114</v>
      </c>
      <c r="J120" s="5">
        <v>1</v>
      </c>
      <c r="K120" s="6" t="e">
        <f t="shared" si="4"/>
        <v>#N/A</v>
      </c>
      <c r="L120" s="6" t="e">
        <f t="shared" si="5"/>
        <v>#N/A</v>
      </c>
      <c r="M120" s="84">
        <v>9</v>
      </c>
      <c r="N120" s="40" t="s">
        <v>573</v>
      </c>
      <c r="O120" s="77">
        <v>0</v>
      </c>
      <c r="P120" s="12" t="s">
        <v>263</v>
      </c>
      <c r="Q120" s="4" t="s">
        <v>404</v>
      </c>
    </row>
    <row r="121" spans="1:17" ht="17.399999999999999">
      <c r="A121" s="58">
        <v>597</v>
      </c>
      <c r="B121" s="56" t="s">
        <v>453</v>
      </c>
      <c r="C121" s="57" t="s">
        <v>575</v>
      </c>
      <c r="D121" s="53">
        <v>41466</v>
      </c>
      <c r="E121" s="37" t="str">
        <f t="shared" ca="1" si="6"/>
        <v>12 Y    6 M</v>
      </c>
      <c r="F121" s="11"/>
      <c r="G121" s="69">
        <v>46029</v>
      </c>
      <c r="H121" s="72" t="s">
        <v>140</v>
      </c>
      <c r="I121" s="42"/>
      <c r="J121" s="5" t="s">
        <v>564</v>
      </c>
      <c r="K121" s="6" t="e">
        <f t="shared" si="4"/>
        <v>#N/A</v>
      </c>
      <c r="L121" s="6" t="e">
        <f t="shared" si="5"/>
        <v>#N/A</v>
      </c>
      <c r="M121" s="84">
        <v>6</v>
      </c>
      <c r="N121" s="40" t="s">
        <v>162</v>
      </c>
      <c r="O121" s="77" t="s">
        <v>137</v>
      </c>
      <c r="P121" s="12" t="s">
        <v>172</v>
      </c>
      <c r="Q121" s="4">
        <v>756089311</v>
      </c>
    </row>
    <row r="122" spans="1:17" ht="17.399999999999999">
      <c r="A122" s="58">
        <v>598</v>
      </c>
      <c r="B122" s="56" t="s">
        <v>454</v>
      </c>
      <c r="C122" s="57" t="s">
        <v>455</v>
      </c>
      <c r="D122" s="53">
        <v>42229</v>
      </c>
      <c r="E122" s="37" t="str">
        <f t="shared" ca="1" si="6"/>
        <v>10 Y    5 M</v>
      </c>
      <c r="F122" s="11"/>
      <c r="G122" s="69">
        <v>46029</v>
      </c>
      <c r="H122" s="72" t="s">
        <v>140</v>
      </c>
      <c r="I122" s="42"/>
      <c r="J122" s="5" t="s">
        <v>564</v>
      </c>
      <c r="K122" s="6" t="e">
        <f t="shared" si="4"/>
        <v>#N/A</v>
      </c>
      <c r="L122" s="6" t="e">
        <f t="shared" si="5"/>
        <v>#N/A</v>
      </c>
      <c r="M122" s="84">
        <v>6</v>
      </c>
      <c r="N122" s="40" t="s">
        <v>162</v>
      </c>
      <c r="O122" s="77" t="s">
        <v>137</v>
      </c>
      <c r="P122" s="12" t="s">
        <v>456</v>
      </c>
      <c r="Q122" s="4" t="s">
        <v>457</v>
      </c>
    </row>
    <row r="123" spans="1:17" ht="17.399999999999999">
      <c r="A123" s="58">
        <v>599</v>
      </c>
      <c r="B123" s="56" t="s">
        <v>458</v>
      </c>
      <c r="C123" s="57" t="s">
        <v>459</v>
      </c>
      <c r="D123" s="53">
        <v>42205</v>
      </c>
      <c r="E123" s="37" t="str">
        <f t="shared" ca="1" si="6"/>
        <v>10 Y    6 M</v>
      </c>
      <c r="F123" s="11"/>
      <c r="G123" s="69">
        <v>46029</v>
      </c>
      <c r="H123" s="72" t="s">
        <v>140</v>
      </c>
      <c r="I123" s="42"/>
      <c r="J123" s="5" t="s">
        <v>564</v>
      </c>
      <c r="K123" s="6" t="e">
        <f t="shared" si="4"/>
        <v>#N/A</v>
      </c>
      <c r="L123" s="6" t="e">
        <f t="shared" si="5"/>
        <v>#N/A</v>
      </c>
      <c r="M123" s="84">
        <v>6</v>
      </c>
      <c r="N123" s="40" t="s">
        <v>162</v>
      </c>
      <c r="O123" s="77" t="s">
        <v>137</v>
      </c>
      <c r="P123" s="12" t="s">
        <v>197</v>
      </c>
      <c r="Q123" s="4" t="s">
        <v>460</v>
      </c>
    </row>
    <row r="124" spans="1:17" ht="17.399999999999999">
      <c r="A124" s="58">
        <v>600</v>
      </c>
      <c r="B124" s="56" t="s">
        <v>461</v>
      </c>
      <c r="C124" s="57" t="s">
        <v>462</v>
      </c>
      <c r="D124" s="53">
        <v>41408</v>
      </c>
      <c r="E124" s="37" t="str">
        <f t="shared" ca="1" si="6"/>
        <v>12 Y    8 M</v>
      </c>
      <c r="F124" s="11"/>
      <c r="G124" s="69">
        <v>46029</v>
      </c>
      <c r="H124" s="72" t="s">
        <v>140</v>
      </c>
      <c r="I124" s="42"/>
      <c r="J124" s="5" t="s">
        <v>564</v>
      </c>
      <c r="K124" s="6" t="e">
        <f t="shared" si="4"/>
        <v>#N/A</v>
      </c>
      <c r="L124" s="6" t="e">
        <f t="shared" si="5"/>
        <v>#N/A</v>
      </c>
      <c r="M124" s="84">
        <v>6</v>
      </c>
      <c r="N124" s="40" t="s">
        <v>162</v>
      </c>
      <c r="O124" s="77" t="s">
        <v>137</v>
      </c>
      <c r="P124" s="12" t="s">
        <v>463</v>
      </c>
      <c r="Q124" s="4" t="s">
        <v>464</v>
      </c>
    </row>
    <row r="125" spans="1:17" ht="17.399999999999999">
      <c r="A125" s="58">
        <v>601</v>
      </c>
      <c r="B125" s="56" t="s">
        <v>259</v>
      </c>
      <c r="C125" s="57" t="s">
        <v>415</v>
      </c>
      <c r="D125" s="53">
        <v>41246</v>
      </c>
      <c r="E125" s="37" t="str">
        <f t="shared" ca="1" si="6"/>
        <v>13 Y    2 M</v>
      </c>
      <c r="F125" s="11"/>
      <c r="G125" s="69">
        <v>46174</v>
      </c>
      <c r="H125" s="72" t="s">
        <v>140</v>
      </c>
      <c r="I125" s="42"/>
      <c r="J125" s="5">
        <v>1</v>
      </c>
      <c r="K125" s="6" t="e">
        <f t="shared" si="4"/>
        <v>#N/A</v>
      </c>
      <c r="L125" s="6" t="e">
        <f t="shared" si="5"/>
        <v>#N/A</v>
      </c>
      <c r="M125" s="84">
        <v>9</v>
      </c>
      <c r="N125" s="40" t="s">
        <v>573</v>
      </c>
      <c r="O125" s="77" t="s">
        <v>137</v>
      </c>
      <c r="P125" s="29" t="s">
        <v>416</v>
      </c>
      <c r="Q125" s="4" t="s">
        <v>417</v>
      </c>
    </row>
    <row r="126" spans="1:17" ht="17.399999999999999">
      <c r="A126" s="58">
        <v>602</v>
      </c>
      <c r="B126" s="56" t="s">
        <v>465</v>
      </c>
      <c r="C126" s="57" t="s">
        <v>466</v>
      </c>
      <c r="D126" s="53">
        <v>42069</v>
      </c>
      <c r="E126" s="37" t="str">
        <f t="shared" ca="1" si="6"/>
        <v>10 Y    10 M</v>
      </c>
      <c r="F126" s="11"/>
      <c r="G126" s="69">
        <v>46029</v>
      </c>
      <c r="H126" s="72" t="s">
        <v>140</v>
      </c>
      <c r="I126" s="42"/>
      <c r="J126" s="5" t="s">
        <v>564</v>
      </c>
      <c r="K126" s="6" t="e">
        <f t="shared" si="4"/>
        <v>#N/A</v>
      </c>
      <c r="L126" s="6" t="e">
        <f t="shared" si="5"/>
        <v>#N/A</v>
      </c>
      <c r="M126" s="84">
        <v>6</v>
      </c>
      <c r="N126" s="40" t="s">
        <v>162</v>
      </c>
      <c r="O126" s="77" t="s">
        <v>137</v>
      </c>
      <c r="P126" s="12" t="s">
        <v>467</v>
      </c>
      <c r="Q126" s="4" t="s">
        <v>468</v>
      </c>
    </row>
    <row r="127" spans="1:17" ht="17.399999999999999">
      <c r="A127" s="58">
        <v>603</v>
      </c>
      <c r="B127" s="56" t="s">
        <v>257</v>
      </c>
      <c r="C127" s="57" t="s">
        <v>418</v>
      </c>
      <c r="D127" s="53">
        <v>40541</v>
      </c>
      <c r="E127" s="37" t="str">
        <f t="shared" ca="1" si="6"/>
        <v>15 Y    1 M</v>
      </c>
      <c r="F127" s="11"/>
      <c r="G127" s="69">
        <v>46029</v>
      </c>
      <c r="H127" s="72" t="s">
        <v>140</v>
      </c>
      <c r="I127" s="42"/>
      <c r="J127" s="5">
        <v>1</v>
      </c>
      <c r="K127" s="6" t="e">
        <f t="shared" si="4"/>
        <v>#N/A</v>
      </c>
      <c r="L127" s="6" t="e">
        <f t="shared" si="5"/>
        <v>#N/A</v>
      </c>
      <c r="M127" s="84">
        <v>9</v>
      </c>
      <c r="N127" s="40" t="s">
        <v>573</v>
      </c>
      <c r="O127" s="77" t="s">
        <v>419</v>
      </c>
      <c r="P127" s="29" t="s">
        <v>420</v>
      </c>
      <c r="Q127" s="4" t="s">
        <v>421</v>
      </c>
    </row>
    <row r="128" spans="1:17" ht="17.399999999999999">
      <c r="A128" s="58">
        <v>604</v>
      </c>
      <c r="B128" s="56" t="s">
        <v>469</v>
      </c>
      <c r="C128" s="57" t="s">
        <v>470</v>
      </c>
      <c r="D128" s="53">
        <v>41817</v>
      </c>
      <c r="E128" s="37" t="str">
        <f t="shared" ca="1" si="6"/>
        <v>11 Y    7 M</v>
      </c>
      <c r="F128" s="11"/>
      <c r="G128" s="69">
        <v>46029</v>
      </c>
      <c r="H128" s="72" t="s">
        <v>140</v>
      </c>
      <c r="I128" s="42"/>
      <c r="J128" s="5" t="s">
        <v>564</v>
      </c>
      <c r="K128" s="6" t="e">
        <f t="shared" si="4"/>
        <v>#N/A</v>
      </c>
      <c r="L128" s="6" t="e">
        <f t="shared" si="5"/>
        <v>#N/A</v>
      </c>
      <c r="M128" s="84">
        <v>6</v>
      </c>
      <c r="N128" s="40" t="s">
        <v>162</v>
      </c>
      <c r="O128" s="77" t="s">
        <v>137</v>
      </c>
      <c r="P128" s="12" t="s">
        <v>471</v>
      </c>
      <c r="Q128" s="4" t="s">
        <v>472</v>
      </c>
    </row>
    <row r="129" spans="1:17" ht="17.399999999999999">
      <c r="A129" s="58">
        <v>605</v>
      </c>
      <c r="B129" s="56" t="s">
        <v>473</v>
      </c>
      <c r="C129" s="57" t="s">
        <v>474</v>
      </c>
      <c r="D129" s="53">
        <v>42146</v>
      </c>
      <c r="E129" s="37" t="str">
        <f t="shared" ca="1" si="6"/>
        <v>10 Y    8 M</v>
      </c>
      <c r="F129" s="11"/>
      <c r="G129" s="69">
        <v>46029</v>
      </c>
      <c r="H129" s="72" t="s">
        <v>140</v>
      </c>
      <c r="I129" s="42"/>
      <c r="J129" s="5" t="s">
        <v>564</v>
      </c>
      <c r="K129" s="6" t="e">
        <f t="shared" si="4"/>
        <v>#N/A</v>
      </c>
      <c r="L129" s="6" t="e">
        <f t="shared" si="5"/>
        <v>#N/A</v>
      </c>
      <c r="M129" s="84">
        <v>6</v>
      </c>
      <c r="N129" s="40" t="s">
        <v>162</v>
      </c>
      <c r="O129" s="77" t="s">
        <v>137</v>
      </c>
      <c r="P129" s="12" t="s">
        <v>475</v>
      </c>
      <c r="Q129" s="4" t="s">
        <v>476</v>
      </c>
    </row>
    <row r="130" spans="1:17" ht="17.399999999999999">
      <c r="A130" s="58">
        <v>606</v>
      </c>
      <c r="B130" s="56" t="s">
        <v>477</v>
      </c>
      <c r="C130" s="57" t="s">
        <v>478</v>
      </c>
      <c r="D130" s="53">
        <v>41973</v>
      </c>
      <c r="E130" s="37" t="str">
        <f t="shared" ca="1" si="6"/>
        <v>11 Y    2 M</v>
      </c>
      <c r="F130" s="11"/>
      <c r="G130" s="69">
        <v>46029</v>
      </c>
      <c r="H130" s="72" t="s">
        <v>140</v>
      </c>
      <c r="I130" s="42"/>
      <c r="J130" s="5" t="s">
        <v>564</v>
      </c>
      <c r="K130" s="6" t="e">
        <f t="shared" ref="K130:K140" si="7">VLOOKUP(J130,$A$162:$B$179,2,FALSE)</f>
        <v>#N/A</v>
      </c>
      <c r="L130" s="6" t="e">
        <f t="shared" ref="L130:L140" si="8">VLOOKUP(J130,$A$162:$C$179,3,FALSE)</f>
        <v>#N/A</v>
      </c>
      <c r="M130" s="84">
        <v>6</v>
      </c>
      <c r="N130" s="40" t="s">
        <v>162</v>
      </c>
      <c r="O130" s="77" t="s">
        <v>479</v>
      </c>
      <c r="P130" s="12" t="s">
        <v>480</v>
      </c>
      <c r="Q130" s="4" t="s">
        <v>481</v>
      </c>
    </row>
    <row r="131" spans="1:17" ht="17.399999999999999">
      <c r="A131" s="58">
        <v>607</v>
      </c>
      <c r="B131" s="56" t="s">
        <v>258</v>
      </c>
      <c r="C131" s="57" t="s">
        <v>422</v>
      </c>
      <c r="D131" s="53">
        <v>40738</v>
      </c>
      <c r="E131" s="37" t="str">
        <f t="shared" ca="1" si="6"/>
        <v>14 Y    6 M</v>
      </c>
      <c r="F131" s="11"/>
      <c r="G131" s="69">
        <v>46029</v>
      </c>
      <c r="H131" s="72" t="s">
        <v>140</v>
      </c>
      <c r="I131" s="42"/>
      <c r="J131" s="5">
        <v>1</v>
      </c>
      <c r="K131" s="6" t="e">
        <f t="shared" si="7"/>
        <v>#N/A</v>
      </c>
      <c r="L131" s="6" t="e">
        <f t="shared" si="8"/>
        <v>#N/A</v>
      </c>
      <c r="M131" s="84">
        <v>9</v>
      </c>
      <c r="N131" s="40" t="s">
        <v>573</v>
      </c>
      <c r="O131" s="77" t="s">
        <v>137</v>
      </c>
      <c r="P131" s="29" t="s">
        <v>423</v>
      </c>
      <c r="Q131" s="4" t="s">
        <v>424</v>
      </c>
    </row>
    <row r="132" spans="1:17" ht="17.399999999999999">
      <c r="A132" s="58">
        <v>608</v>
      </c>
      <c r="B132" s="56" t="s">
        <v>566</v>
      </c>
      <c r="C132" s="67" t="s">
        <v>565</v>
      </c>
      <c r="D132" s="53"/>
      <c r="E132" s="37" t="str">
        <f t="shared" ca="1" si="6"/>
        <v>126 Y    1 M</v>
      </c>
      <c r="F132" s="11"/>
      <c r="G132" s="69">
        <v>46029</v>
      </c>
      <c r="H132" s="72" t="s">
        <v>140</v>
      </c>
      <c r="I132" s="42"/>
      <c r="J132" s="5" t="s">
        <v>564</v>
      </c>
      <c r="K132" s="6" t="e">
        <f t="shared" si="7"/>
        <v>#N/A</v>
      </c>
      <c r="L132" s="6" t="e">
        <f t="shared" si="8"/>
        <v>#N/A</v>
      </c>
      <c r="M132" s="84">
        <v>6</v>
      </c>
      <c r="N132" s="40" t="s">
        <v>162</v>
      </c>
      <c r="O132" s="77" t="s">
        <v>137</v>
      </c>
      <c r="P132" s="12" t="s">
        <v>207</v>
      </c>
      <c r="Q132" s="4">
        <v>763746327</v>
      </c>
    </row>
    <row r="133" spans="1:17" ht="17.399999999999999">
      <c r="A133" s="58">
        <v>609</v>
      </c>
      <c r="B133" s="56" t="s">
        <v>482</v>
      </c>
      <c r="C133" s="57" t="s">
        <v>483</v>
      </c>
      <c r="D133" s="53">
        <v>41718</v>
      </c>
      <c r="E133" s="37" t="str">
        <f t="shared" ca="1" si="6"/>
        <v>11 Y    10 M</v>
      </c>
      <c r="F133" s="11"/>
      <c r="G133" s="69">
        <v>46029</v>
      </c>
      <c r="H133" s="72" t="s">
        <v>140</v>
      </c>
      <c r="I133" s="42"/>
      <c r="J133" s="5" t="s">
        <v>564</v>
      </c>
      <c r="K133" s="6" t="e">
        <f t="shared" si="7"/>
        <v>#N/A</v>
      </c>
      <c r="L133" s="6" t="e">
        <f t="shared" si="8"/>
        <v>#N/A</v>
      </c>
      <c r="M133" s="84">
        <v>6</v>
      </c>
      <c r="N133" s="40" t="s">
        <v>162</v>
      </c>
      <c r="O133" s="77" t="s">
        <v>137</v>
      </c>
      <c r="P133" s="12" t="s">
        <v>167</v>
      </c>
      <c r="Q133" s="4" t="s">
        <v>484</v>
      </c>
    </row>
    <row r="134" spans="1:17" ht="17.399999999999999">
      <c r="A134" s="58">
        <v>610</v>
      </c>
      <c r="B134" s="56" t="s">
        <v>426</v>
      </c>
      <c r="C134" s="57" t="s">
        <v>425</v>
      </c>
      <c r="D134" s="53">
        <v>42396</v>
      </c>
      <c r="E134" s="37" t="str">
        <f t="shared" ca="1" si="6"/>
        <v>10 Y    0 M</v>
      </c>
      <c r="F134" s="11"/>
      <c r="G134" s="69">
        <v>46204</v>
      </c>
      <c r="H134" s="72" t="s">
        <v>140</v>
      </c>
      <c r="I134" s="42"/>
      <c r="J134" s="5" t="s">
        <v>564</v>
      </c>
      <c r="K134" s="6" t="e">
        <f t="shared" si="7"/>
        <v>#N/A</v>
      </c>
      <c r="L134" s="6" t="e">
        <f t="shared" si="8"/>
        <v>#N/A</v>
      </c>
      <c r="M134" s="84">
        <v>6</v>
      </c>
      <c r="N134" s="40" t="s">
        <v>162</v>
      </c>
      <c r="O134" s="77" t="s">
        <v>137</v>
      </c>
      <c r="P134" s="12" t="s">
        <v>427</v>
      </c>
      <c r="Q134" s="4" t="s">
        <v>428</v>
      </c>
    </row>
    <row r="135" spans="1:17" ht="17.399999999999999">
      <c r="A135" s="58">
        <v>611</v>
      </c>
      <c r="B135" s="56" t="s">
        <v>429</v>
      </c>
      <c r="C135" s="57" t="s">
        <v>430</v>
      </c>
      <c r="D135" s="53">
        <v>42090</v>
      </c>
      <c r="E135" s="37" t="str">
        <f t="shared" ca="1" si="6"/>
        <v>10 Y    10 M</v>
      </c>
      <c r="F135" s="11"/>
      <c r="G135" s="69">
        <v>46204</v>
      </c>
      <c r="H135" s="72" t="s">
        <v>140</v>
      </c>
      <c r="I135" s="42"/>
      <c r="J135" s="5" t="s">
        <v>564</v>
      </c>
      <c r="K135" s="6" t="e">
        <f t="shared" si="7"/>
        <v>#N/A</v>
      </c>
      <c r="L135" s="6" t="e">
        <f t="shared" si="8"/>
        <v>#N/A</v>
      </c>
      <c r="M135" s="84">
        <v>6</v>
      </c>
      <c r="N135" s="40" t="s">
        <v>162</v>
      </c>
      <c r="O135" s="77" t="s">
        <v>137</v>
      </c>
      <c r="P135" s="12" t="s">
        <v>427</v>
      </c>
      <c r="Q135" s="4" t="s">
        <v>428</v>
      </c>
    </row>
    <row r="136" spans="1:17" ht="17.399999999999999">
      <c r="A136" s="58">
        <v>612</v>
      </c>
      <c r="B136" s="57" t="s">
        <v>431</v>
      </c>
      <c r="C136" s="57" t="s">
        <v>432</v>
      </c>
      <c r="D136" s="53">
        <v>41960</v>
      </c>
      <c r="E136" s="37" t="str">
        <f t="shared" ca="1" si="6"/>
        <v>11 Y    2 M</v>
      </c>
      <c r="F136" s="11"/>
      <c r="G136" s="69">
        <v>46029</v>
      </c>
      <c r="H136" s="72" t="s">
        <v>140</v>
      </c>
      <c r="I136" s="42"/>
      <c r="J136" s="5" t="s">
        <v>564</v>
      </c>
      <c r="K136" s="6" t="e">
        <f t="shared" si="7"/>
        <v>#N/A</v>
      </c>
      <c r="L136" s="6" t="e">
        <f t="shared" si="8"/>
        <v>#N/A</v>
      </c>
      <c r="M136" s="84">
        <v>6</v>
      </c>
      <c r="N136" s="40" t="s">
        <v>162</v>
      </c>
      <c r="O136" s="77" t="s">
        <v>433</v>
      </c>
      <c r="P136" s="12" t="s">
        <v>438</v>
      </c>
      <c r="Q136" s="4">
        <v>0</v>
      </c>
    </row>
    <row r="137" spans="1:17" ht="17.399999999999999">
      <c r="A137" s="58">
        <v>613</v>
      </c>
      <c r="B137" s="57" t="s">
        <v>439</v>
      </c>
      <c r="C137" s="57" t="s">
        <v>440</v>
      </c>
      <c r="D137" s="53">
        <v>41790</v>
      </c>
      <c r="E137" s="37" t="str">
        <f t="shared" ca="1" si="6"/>
        <v>11 Y    8 M</v>
      </c>
      <c r="F137" s="11"/>
      <c r="G137" s="69">
        <v>46030</v>
      </c>
      <c r="H137" s="72" t="s">
        <v>140</v>
      </c>
      <c r="I137" s="42"/>
      <c r="J137" s="5" t="s">
        <v>564</v>
      </c>
      <c r="K137" s="6" t="e">
        <f t="shared" si="7"/>
        <v>#N/A</v>
      </c>
      <c r="L137" s="6" t="e">
        <f t="shared" si="8"/>
        <v>#N/A</v>
      </c>
      <c r="M137" s="84">
        <v>6</v>
      </c>
      <c r="N137" s="40" t="s">
        <v>162</v>
      </c>
      <c r="O137" s="77" t="s">
        <v>173</v>
      </c>
      <c r="P137" s="12" t="s">
        <v>441</v>
      </c>
      <c r="Q137" s="4" t="s">
        <v>442</v>
      </c>
    </row>
    <row r="138" spans="1:17" ht="17.399999999999999">
      <c r="A138" s="58">
        <v>614</v>
      </c>
      <c r="B138" s="57" t="s">
        <v>412</v>
      </c>
      <c r="C138" s="57" t="s">
        <v>413</v>
      </c>
      <c r="D138" s="53">
        <v>39148</v>
      </c>
      <c r="E138" s="37" t="str">
        <f t="shared" ca="1" si="6"/>
        <v>18 Y    10 M</v>
      </c>
      <c r="F138" s="11"/>
      <c r="G138" s="53">
        <v>46040</v>
      </c>
      <c r="H138" s="72" t="s">
        <v>140</v>
      </c>
      <c r="I138" s="42"/>
      <c r="J138" s="5">
        <v>1</v>
      </c>
      <c r="K138" s="6" t="e">
        <f t="shared" si="7"/>
        <v>#N/A</v>
      </c>
      <c r="L138" s="6" t="e">
        <f t="shared" si="8"/>
        <v>#N/A</v>
      </c>
      <c r="M138" s="84" t="s">
        <v>576</v>
      </c>
      <c r="N138" s="40" t="s">
        <v>573</v>
      </c>
      <c r="O138" s="77" t="s">
        <v>433</v>
      </c>
      <c r="P138" s="12" t="s">
        <v>414</v>
      </c>
      <c r="Q138" s="4">
        <v>0</v>
      </c>
    </row>
    <row r="139" spans="1:17" ht="17.399999999999999">
      <c r="A139" s="58">
        <v>615</v>
      </c>
      <c r="B139" s="29" t="s">
        <v>405</v>
      </c>
      <c r="C139" s="57" t="s">
        <v>406</v>
      </c>
      <c r="D139" s="53">
        <v>41037</v>
      </c>
      <c r="E139" s="37" t="str">
        <f t="shared" ca="1" si="6"/>
        <v>13 Y    8 M</v>
      </c>
      <c r="F139" s="11"/>
      <c r="G139" s="53">
        <v>46041</v>
      </c>
      <c r="H139" s="72" t="s">
        <v>140</v>
      </c>
      <c r="I139" s="42"/>
      <c r="J139" s="5">
        <v>1</v>
      </c>
      <c r="K139" s="6" t="e">
        <f t="shared" si="7"/>
        <v>#N/A</v>
      </c>
      <c r="L139" s="6" t="e">
        <f t="shared" si="8"/>
        <v>#N/A</v>
      </c>
      <c r="M139" s="84">
        <v>9</v>
      </c>
      <c r="N139" s="40" t="s">
        <v>573</v>
      </c>
      <c r="O139" s="77" t="s">
        <v>137</v>
      </c>
      <c r="P139" s="29" t="s">
        <v>408</v>
      </c>
      <c r="Q139" s="4" t="s">
        <v>409</v>
      </c>
    </row>
    <row r="140" spans="1:17" ht="17.399999999999999">
      <c r="A140" s="58">
        <v>616</v>
      </c>
      <c r="B140" s="29" t="s">
        <v>577</v>
      </c>
      <c r="C140" s="6" t="s">
        <v>578</v>
      </c>
      <c r="D140" s="53">
        <v>40915</v>
      </c>
      <c r="E140" s="37" t="str">
        <f t="shared" ca="1" si="6"/>
        <v>14 Y    0 M</v>
      </c>
      <c r="F140" s="11"/>
      <c r="G140" s="53">
        <v>46055</v>
      </c>
      <c r="H140" s="72" t="s">
        <v>140</v>
      </c>
      <c r="I140" s="83"/>
      <c r="J140" s="5">
        <v>1</v>
      </c>
      <c r="K140" s="6" t="e">
        <f t="shared" si="7"/>
        <v>#N/A</v>
      </c>
      <c r="L140" s="6" t="e">
        <f t="shared" si="8"/>
        <v>#N/A</v>
      </c>
      <c r="M140" s="88">
        <v>9</v>
      </c>
      <c r="N140" s="40" t="s">
        <v>573</v>
      </c>
      <c r="O140" s="77" t="s">
        <v>137</v>
      </c>
      <c r="P140" s="4" t="s">
        <v>579</v>
      </c>
      <c r="Q140" s="4" t="s">
        <v>580</v>
      </c>
    </row>
  </sheetData>
  <conditionalFormatting sqref="E2:E91">
    <cfRule type="cellIs" dxfId="1" priority="1" operator="greaterThan">
      <formula>"15 y"</formula>
    </cfRule>
  </conditionalFormatting>
  <dataValidations count="1">
    <dataValidation type="list" allowBlank="1" showInputMessage="1" showErrorMessage="1" sqref="P36" xr:uid="{EDCF8A84-86B6-4996-89D5-FF6F4F5969B5}">
      <formula1>"1,2,3,4,5,6,7,HIFL (1),HIFL (2),HIFL(3)"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C2:L24"/>
  <sheetViews>
    <sheetView topLeftCell="A13" zoomScale="85" zoomScaleNormal="85" workbookViewId="0">
      <selection activeCell="D20" sqref="D20:D25"/>
    </sheetView>
  </sheetViews>
  <sheetFormatPr defaultRowHeight="14.4"/>
  <cols>
    <col min="3" max="3" width="30.88671875" customWidth="1"/>
    <col min="4" max="4" width="39.109375" customWidth="1"/>
  </cols>
  <sheetData>
    <row r="2" spans="3:12" ht="37.5" customHeight="1">
      <c r="C2" s="100"/>
      <c r="D2" s="100"/>
    </row>
    <row r="3" spans="3:12" ht="109.5" customHeight="1">
      <c r="C3" s="81" t="s">
        <v>574</v>
      </c>
      <c r="D3" s="78"/>
    </row>
    <row r="4" spans="3:12" ht="24" customHeight="1">
      <c r="C4" s="79" t="s">
        <v>396</v>
      </c>
      <c r="D4" s="80">
        <v>500</v>
      </c>
    </row>
    <row r="5" spans="3:12" ht="24" customHeight="1">
      <c r="C5" s="75" t="s">
        <v>398</v>
      </c>
      <c r="D5" s="60" t="str">
        <f>VLOOKUP($D$4,'2026'!$E$3:$AH$674,2,FALSE)</f>
        <v>M.S.MAHMOODH</v>
      </c>
    </row>
    <row r="6" spans="3:12" ht="38.25" customHeight="1">
      <c r="C6" s="75" t="s">
        <v>399</v>
      </c>
      <c r="D6" s="62" t="str">
        <f>VLOOKUP($D$4,'2026'!$E$3:$AH$674,3,FALSE)</f>
        <v>MUHAMMAD SABRY MAHMOODH</v>
      </c>
    </row>
    <row r="7" spans="3:12" ht="24" customHeight="1">
      <c r="C7" s="75" t="s">
        <v>266</v>
      </c>
      <c r="D7" s="61">
        <f>VLOOKUP($D$4,'2026'!$E$3:$AH$674,4,FALSE)</f>
        <v>39849</v>
      </c>
    </row>
    <row r="8" spans="3:12" ht="24" customHeight="1">
      <c r="C8" s="75" t="s">
        <v>267</v>
      </c>
      <c r="D8" s="60" t="str">
        <f ca="1">VLOOKUP($D$4,'2026'!$E$3:$AH$674,5,FALSE)</f>
        <v>17 Y    0 M</v>
      </c>
    </row>
    <row r="9" spans="3:12" ht="24" customHeight="1">
      <c r="C9" s="75" t="s">
        <v>264</v>
      </c>
      <c r="D9" s="63">
        <f>VLOOKUP($D$4,'2026'!$E$3:$AH$674,6,FALSE)</f>
        <v>200903602467</v>
      </c>
    </row>
    <row r="10" spans="3:12" ht="24" customHeight="1">
      <c r="C10" s="76" t="s">
        <v>304</v>
      </c>
      <c r="D10" s="60" t="str">
        <f>VLOOKUP($D$4,'2026'!$E$3:$AH$674,7,FALSE)</f>
        <v>04.01.2023</v>
      </c>
    </row>
    <row r="11" spans="3:12" ht="24" customHeight="1">
      <c r="C11" s="76" t="s">
        <v>113</v>
      </c>
      <c r="D11" s="60">
        <f>VLOOKUP($D$4,'2026'!$E$3:$AH$674,9,FALSE)</f>
        <v>0</v>
      </c>
    </row>
    <row r="12" spans="3:12" ht="24" customHeight="1">
      <c r="C12" s="76" t="s">
        <v>400</v>
      </c>
      <c r="D12" s="60">
        <f>VLOOKUP($D$4,'2026'!$E$3:$AH$674,10,FALSE)</f>
        <v>4</v>
      </c>
      <c r="L12" s="64"/>
    </row>
    <row r="13" spans="3:12" ht="24" customHeight="1">
      <c r="C13" s="76" t="s">
        <v>110</v>
      </c>
      <c r="D13" s="60" t="str">
        <f>VLOOKUP($D$4,'2026'!$E$3:$AH$674,11,FALSE)</f>
        <v>ASH-SHAIKH MUNTHASIR</v>
      </c>
    </row>
    <row r="14" spans="3:12" ht="24" customHeight="1">
      <c r="C14" s="76" t="s">
        <v>397</v>
      </c>
      <c r="D14" s="60" t="str">
        <f>VLOOKUP($D$4,'2026'!$E$3:$AH$674,12,FALSE)</f>
        <v>0762663436  / 0755050300</v>
      </c>
    </row>
    <row r="15" spans="3:12" ht="24" customHeight="1">
      <c r="C15" s="76" t="s">
        <v>401</v>
      </c>
      <c r="D15" s="60">
        <f>VLOOKUP($D$4,'2026'!$E$3:$AH$674,13,FALSE)</f>
        <v>0</v>
      </c>
    </row>
    <row r="16" spans="3:12" ht="24" customHeight="1">
      <c r="C16" s="75" t="s">
        <v>98</v>
      </c>
      <c r="D16" s="60" t="str">
        <f>VLOOKUP($D$4,'2026'!$E$3:$AH$674,14,FALSE)</f>
        <v>SHAREE'AH</v>
      </c>
    </row>
    <row r="17" spans="3:4" ht="24" customHeight="1">
      <c r="C17" s="75" t="s">
        <v>99</v>
      </c>
      <c r="D17" s="60" t="str">
        <f>VLOOKUP($D$4,'2026'!$E$3:$AH$674,15,FALSE)</f>
        <v>KALUTARA</v>
      </c>
    </row>
    <row r="18" spans="3:4" ht="42.75" customHeight="1">
      <c r="C18" s="75" t="s">
        <v>136</v>
      </c>
      <c r="D18" s="62" t="str">
        <f>VLOOKUP($D$4,'2026'!$E$3:$AH$674,16,FALSE)</f>
        <v>181, HILL STREET, KALUTARA SOUTH.</v>
      </c>
    </row>
    <row r="19" spans="3:4" ht="26.25" customHeight="1">
      <c r="C19" s="75" t="s">
        <v>251</v>
      </c>
      <c r="D19" s="60">
        <f>VLOOKUP($D$4,'2026'!$E$3:$AH$674,17,FALSE)</f>
        <v>763746327</v>
      </c>
    </row>
    <row r="20" spans="3:4">
      <c r="D20" s="38">
        <f>VLOOKUP($D$4,'2026'!$E$3:$AH$674,18,FALSE)</f>
        <v>0</v>
      </c>
    </row>
    <row r="21" spans="3:4">
      <c r="D21" s="38">
        <f>VLOOKUP($D$4,'2026'!$E$3:$AH$674,19,FALSE)</f>
        <v>0</v>
      </c>
    </row>
    <row r="22" spans="3:4">
      <c r="D22" s="38">
        <f>VLOOKUP($D$4,'2026'!$E$3:$AH$674,20,FALSE)</f>
        <v>0</v>
      </c>
    </row>
    <row r="23" spans="3:4">
      <c r="D23" s="38">
        <f>VLOOKUP($D$4,'2026'!$E$3:$AH$674,21,FALSE)</f>
        <v>0</v>
      </c>
    </row>
    <row r="24" spans="3:4">
      <c r="D24" s="38">
        <f>VLOOKUP($D$4,'2026'!$E$3:$AH$674,22,FALSE)</f>
        <v>0</v>
      </c>
    </row>
  </sheetData>
  <mergeCells count="1">
    <mergeCell ref="C2:D2"/>
  </mergeCells>
  <conditionalFormatting sqref="D1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2026</vt:lpstr>
      <vt:lpstr>Sheet1</vt:lpstr>
      <vt:lpstr>CHECKING</vt:lpstr>
      <vt:lpstr>'2026'!Print_Area</vt:lpstr>
      <vt:lpstr>CHECKING!Print_Area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spt</dc:creator>
  <cp:lastModifiedBy>SAFNAS KALDEEN</cp:lastModifiedBy>
  <cp:lastPrinted>2026-02-01T05:24:53Z</cp:lastPrinted>
  <dcterms:created xsi:type="dcterms:W3CDTF">2025-05-24T04:52:04Z</dcterms:created>
  <dcterms:modified xsi:type="dcterms:W3CDTF">2026-02-05T10:12:12Z</dcterms:modified>
</cp:coreProperties>
</file>