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LM IT\Downloads\"/>
    </mc:Choice>
  </mc:AlternateContent>
  <xr:revisionPtr revIDLastSave="0" documentId="13_ncr:1_{512A3574-70D6-439C-BAD4-7B0D7F53F4DB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Sun,Tue,Wed" sheetId="6" r:id="rId1"/>
    <sheet name="Mon" sheetId="7" r:id="rId2"/>
    <sheet name="thu" sheetId="8" r:id="rId3"/>
    <sheet name="Name List" sheetId="2" r:id="rId4"/>
  </sheets>
  <definedNames>
    <definedName name="_xlnm._FilterDatabase" localSheetId="3" hidden="1">'Name List'!$B$1:$F$96</definedName>
    <definedName name="_xlnm.Print_Area" localSheetId="1">Mon!$A$1:$T$11</definedName>
    <definedName name="_xlnm.Print_Area" localSheetId="0">'Sun,Tue,Wed'!$A$1:$S$33</definedName>
    <definedName name="_xlnm.Print_Area" localSheetId="2">thu!$A$1:$V$11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" i="6" l="1"/>
  <c r="A10" i="7" l="1"/>
  <c r="B10" i="7"/>
  <c r="C10" i="7"/>
  <c r="D10" i="7"/>
  <c r="E10" i="7"/>
  <c r="F10" i="7"/>
  <c r="N10" i="7"/>
  <c r="O10" i="7"/>
  <c r="P10" i="7"/>
  <c r="Q10" i="7"/>
  <c r="R10" i="7"/>
  <c r="S10" i="7"/>
  <c r="I10" i="7"/>
  <c r="J10" i="7"/>
  <c r="K10" i="7"/>
  <c r="L10" i="7"/>
  <c r="P10" i="8"/>
  <c r="Q10" i="8"/>
  <c r="R10" i="8"/>
  <c r="S10" i="8"/>
  <c r="T10" i="8"/>
  <c r="U10" i="8"/>
  <c r="I10" i="8"/>
  <c r="J10" i="8"/>
  <c r="K10" i="8"/>
  <c r="L10" i="8"/>
  <c r="A10" i="8"/>
  <c r="B10" i="8"/>
  <c r="C10" i="8"/>
  <c r="D10" i="8"/>
  <c r="E10" i="8"/>
  <c r="F10" i="8"/>
  <c r="M32" i="6"/>
  <c r="N32" i="6"/>
  <c r="O32" i="6"/>
  <c r="P32" i="6"/>
  <c r="Q32" i="6"/>
  <c r="R32" i="6"/>
  <c r="H32" i="6"/>
  <c r="I32" i="6"/>
  <c r="J32" i="6"/>
  <c r="K32" i="6"/>
  <c r="A32" i="6"/>
  <c r="B32" i="6"/>
  <c r="C32" i="6"/>
  <c r="D32" i="6"/>
  <c r="E32" i="6"/>
  <c r="F32" i="6"/>
  <c r="M21" i="6"/>
  <c r="N21" i="6"/>
  <c r="O21" i="6"/>
  <c r="P21" i="6"/>
  <c r="Q21" i="6"/>
  <c r="R21" i="6"/>
  <c r="H21" i="6"/>
  <c r="I21" i="6"/>
  <c r="J21" i="6"/>
  <c r="K21" i="6"/>
  <c r="A21" i="6"/>
  <c r="B21" i="6"/>
  <c r="C21" i="6"/>
  <c r="D21" i="6"/>
  <c r="E21" i="6"/>
  <c r="F21" i="6"/>
  <c r="A11" i="6" l="1"/>
  <c r="B11" i="6"/>
  <c r="C11" i="6"/>
  <c r="D11" i="6"/>
  <c r="E11" i="6"/>
  <c r="F11" i="6"/>
  <c r="H11" i="6"/>
  <c r="I11" i="6"/>
  <c r="J11" i="6"/>
  <c r="K11" i="6"/>
  <c r="M11" i="6"/>
  <c r="N11" i="6"/>
  <c r="O11" i="6"/>
  <c r="P11" i="6"/>
  <c r="Q11" i="6"/>
  <c r="R11" i="6"/>
  <c r="A13" i="6" l="1"/>
  <c r="A24" i="6" s="1"/>
  <c r="A2" i="7" s="1"/>
  <c r="A2" i="8" s="1"/>
  <c r="F10" i="6" l="1"/>
  <c r="U11" i="8" l="1"/>
  <c r="T11" i="8"/>
  <c r="S11" i="8"/>
  <c r="R11" i="8"/>
  <c r="Q11" i="8"/>
  <c r="P11" i="8"/>
  <c r="L11" i="8"/>
  <c r="K11" i="8"/>
  <c r="J11" i="8"/>
  <c r="I11" i="8"/>
  <c r="F11" i="8"/>
  <c r="E11" i="8"/>
  <c r="D11" i="8"/>
  <c r="C11" i="8"/>
  <c r="B11" i="8"/>
  <c r="A11" i="8"/>
  <c r="U9" i="8"/>
  <c r="T9" i="8"/>
  <c r="S9" i="8"/>
  <c r="R9" i="8"/>
  <c r="Q9" i="8"/>
  <c r="P9" i="8"/>
  <c r="L9" i="8"/>
  <c r="K9" i="8"/>
  <c r="J9" i="8"/>
  <c r="I9" i="8"/>
  <c r="F9" i="8"/>
  <c r="E9" i="8"/>
  <c r="D9" i="8"/>
  <c r="C9" i="8"/>
  <c r="B9" i="8"/>
  <c r="A9" i="8"/>
  <c r="U8" i="8"/>
  <c r="T8" i="8"/>
  <c r="S8" i="8"/>
  <c r="R8" i="8"/>
  <c r="Q8" i="8"/>
  <c r="P8" i="8"/>
  <c r="L8" i="8"/>
  <c r="K8" i="8"/>
  <c r="J8" i="8"/>
  <c r="I8" i="8"/>
  <c r="F8" i="8"/>
  <c r="E8" i="8"/>
  <c r="D8" i="8"/>
  <c r="C8" i="8"/>
  <c r="B8" i="8"/>
  <c r="A8" i="8"/>
  <c r="U7" i="8"/>
  <c r="T7" i="8"/>
  <c r="S7" i="8"/>
  <c r="R7" i="8"/>
  <c r="Q7" i="8"/>
  <c r="P7" i="8"/>
  <c r="L7" i="8"/>
  <c r="K7" i="8"/>
  <c r="J7" i="8"/>
  <c r="I7" i="8"/>
  <c r="F7" i="8"/>
  <c r="E7" i="8"/>
  <c r="D7" i="8"/>
  <c r="C7" i="8"/>
  <c r="B7" i="8"/>
  <c r="A7" i="8"/>
  <c r="U6" i="8"/>
  <c r="T6" i="8"/>
  <c r="S6" i="8"/>
  <c r="R6" i="8"/>
  <c r="Q6" i="8"/>
  <c r="P6" i="8"/>
  <c r="L6" i="8"/>
  <c r="K6" i="8"/>
  <c r="J6" i="8"/>
  <c r="I6" i="8"/>
  <c r="F6" i="8"/>
  <c r="E6" i="8"/>
  <c r="D6" i="8"/>
  <c r="C6" i="8"/>
  <c r="B6" i="8"/>
  <c r="A6" i="8"/>
  <c r="U5" i="8"/>
  <c r="T5" i="8"/>
  <c r="S5" i="8"/>
  <c r="R5" i="8"/>
  <c r="Q5" i="8"/>
  <c r="P5" i="8"/>
  <c r="L5" i="8"/>
  <c r="K5" i="8"/>
  <c r="J5" i="8"/>
  <c r="I5" i="8"/>
  <c r="F5" i="8"/>
  <c r="E5" i="8"/>
  <c r="D5" i="8"/>
  <c r="C5" i="8"/>
  <c r="B5" i="8"/>
  <c r="A5" i="8"/>
  <c r="S11" i="7"/>
  <c r="R11" i="7"/>
  <c r="Q11" i="7"/>
  <c r="P11" i="7"/>
  <c r="O11" i="7"/>
  <c r="N11" i="7"/>
  <c r="L11" i="7"/>
  <c r="K11" i="7"/>
  <c r="J11" i="7"/>
  <c r="I11" i="7"/>
  <c r="F11" i="7"/>
  <c r="E11" i="7"/>
  <c r="D11" i="7"/>
  <c r="C11" i="7"/>
  <c r="B11" i="7"/>
  <c r="A11" i="7"/>
  <c r="S9" i="7"/>
  <c r="R9" i="7"/>
  <c r="Q9" i="7"/>
  <c r="P9" i="7"/>
  <c r="O9" i="7"/>
  <c r="N9" i="7"/>
  <c r="L9" i="7"/>
  <c r="K9" i="7"/>
  <c r="J9" i="7"/>
  <c r="I9" i="7"/>
  <c r="F9" i="7"/>
  <c r="E9" i="7"/>
  <c r="D9" i="7"/>
  <c r="C9" i="7"/>
  <c r="B9" i="7"/>
  <c r="A9" i="7"/>
  <c r="S8" i="7"/>
  <c r="R8" i="7"/>
  <c r="Q8" i="7"/>
  <c r="P8" i="7"/>
  <c r="O8" i="7"/>
  <c r="N8" i="7"/>
  <c r="L8" i="7"/>
  <c r="K8" i="7"/>
  <c r="J8" i="7"/>
  <c r="I8" i="7"/>
  <c r="F8" i="7"/>
  <c r="E8" i="7"/>
  <c r="D8" i="7"/>
  <c r="C8" i="7"/>
  <c r="B8" i="7"/>
  <c r="A8" i="7"/>
  <c r="S7" i="7"/>
  <c r="R7" i="7"/>
  <c r="Q7" i="7"/>
  <c r="P7" i="7"/>
  <c r="O7" i="7"/>
  <c r="N7" i="7"/>
  <c r="L7" i="7"/>
  <c r="K7" i="7"/>
  <c r="J7" i="7"/>
  <c r="I7" i="7"/>
  <c r="F7" i="7"/>
  <c r="E7" i="7"/>
  <c r="D7" i="7"/>
  <c r="C7" i="7"/>
  <c r="B7" i="7"/>
  <c r="A7" i="7"/>
  <c r="S6" i="7"/>
  <c r="R6" i="7"/>
  <c r="Q6" i="7"/>
  <c r="P6" i="7"/>
  <c r="O6" i="7"/>
  <c r="N6" i="7"/>
  <c r="L6" i="7"/>
  <c r="K6" i="7"/>
  <c r="J6" i="7"/>
  <c r="I6" i="7"/>
  <c r="F6" i="7"/>
  <c r="E6" i="7"/>
  <c r="D6" i="7"/>
  <c r="C6" i="7"/>
  <c r="B6" i="7"/>
  <c r="A6" i="7"/>
  <c r="S5" i="7"/>
  <c r="R5" i="7"/>
  <c r="Q5" i="7"/>
  <c r="P5" i="7"/>
  <c r="O5" i="7"/>
  <c r="N5" i="7"/>
  <c r="L5" i="7"/>
  <c r="K5" i="7"/>
  <c r="J5" i="7"/>
  <c r="I5" i="7"/>
  <c r="F5" i="7"/>
  <c r="E5" i="7"/>
  <c r="D5" i="7"/>
  <c r="C5" i="7"/>
  <c r="B5" i="7"/>
  <c r="A5" i="7"/>
  <c r="R33" i="6"/>
  <c r="Q33" i="6"/>
  <c r="P33" i="6"/>
  <c r="O33" i="6"/>
  <c r="N33" i="6"/>
  <c r="M33" i="6"/>
  <c r="K33" i="6"/>
  <c r="J33" i="6"/>
  <c r="I33" i="6"/>
  <c r="H33" i="6"/>
  <c r="F33" i="6"/>
  <c r="E33" i="6"/>
  <c r="D33" i="6"/>
  <c r="C33" i="6"/>
  <c r="B33" i="6"/>
  <c r="A33" i="6"/>
  <c r="R31" i="6"/>
  <c r="Q31" i="6"/>
  <c r="P31" i="6"/>
  <c r="O31" i="6"/>
  <c r="N31" i="6"/>
  <c r="M31" i="6"/>
  <c r="K31" i="6"/>
  <c r="J31" i="6"/>
  <c r="I31" i="6"/>
  <c r="H31" i="6"/>
  <c r="F31" i="6"/>
  <c r="E31" i="6"/>
  <c r="D31" i="6"/>
  <c r="C31" i="6"/>
  <c r="B31" i="6"/>
  <c r="A31" i="6"/>
  <c r="R30" i="6"/>
  <c r="Q30" i="6"/>
  <c r="P30" i="6"/>
  <c r="O30" i="6"/>
  <c r="N30" i="6"/>
  <c r="M30" i="6"/>
  <c r="K30" i="6"/>
  <c r="J30" i="6"/>
  <c r="I30" i="6"/>
  <c r="H30" i="6"/>
  <c r="F30" i="6"/>
  <c r="E30" i="6"/>
  <c r="D30" i="6"/>
  <c r="C30" i="6"/>
  <c r="B30" i="6"/>
  <c r="A30" i="6"/>
  <c r="R29" i="6"/>
  <c r="Q29" i="6"/>
  <c r="P29" i="6"/>
  <c r="O29" i="6"/>
  <c r="N29" i="6"/>
  <c r="M29" i="6"/>
  <c r="K29" i="6"/>
  <c r="J29" i="6"/>
  <c r="I29" i="6"/>
  <c r="H29" i="6"/>
  <c r="F29" i="6"/>
  <c r="E29" i="6"/>
  <c r="D29" i="6"/>
  <c r="C29" i="6"/>
  <c r="B29" i="6"/>
  <c r="A29" i="6"/>
  <c r="R28" i="6"/>
  <c r="Q28" i="6"/>
  <c r="P28" i="6"/>
  <c r="O28" i="6"/>
  <c r="N28" i="6"/>
  <c r="M28" i="6"/>
  <c r="K28" i="6"/>
  <c r="J28" i="6"/>
  <c r="I28" i="6"/>
  <c r="H28" i="6"/>
  <c r="F28" i="6"/>
  <c r="E28" i="6"/>
  <c r="D28" i="6"/>
  <c r="C28" i="6"/>
  <c r="B28" i="6"/>
  <c r="A28" i="6"/>
  <c r="R27" i="6"/>
  <c r="Q27" i="6"/>
  <c r="P27" i="6"/>
  <c r="O27" i="6"/>
  <c r="N27" i="6"/>
  <c r="M27" i="6"/>
  <c r="K27" i="6"/>
  <c r="J27" i="6"/>
  <c r="I27" i="6"/>
  <c r="H27" i="6"/>
  <c r="F27" i="6"/>
  <c r="E27" i="6"/>
  <c r="D27" i="6"/>
  <c r="C27" i="6"/>
  <c r="B27" i="6"/>
  <c r="A27" i="6"/>
  <c r="R22" i="6"/>
  <c r="Q22" i="6"/>
  <c r="P22" i="6"/>
  <c r="O22" i="6"/>
  <c r="N22" i="6"/>
  <c r="M22" i="6"/>
  <c r="K22" i="6"/>
  <c r="J22" i="6"/>
  <c r="I22" i="6"/>
  <c r="H22" i="6"/>
  <c r="F22" i="6"/>
  <c r="E22" i="6"/>
  <c r="D22" i="6"/>
  <c r="C22" i="6"/>
  <c r="B22" i="6"/>
  <c r="A22" i="6"/>
  <c r="R20" i="6"/>
  <c r="Q20" i="6"/>
  <c r="P20" i="6"/>
  <c r="O20" i="6"/>
  <c r="N20" i="6"/>
  <c r="M20" i="6"/>
  <c r="K20" i="6"/>
  <c r="J20" i="6"/>
  <c r="I20" i="6"/>
  <c r="H20" i="6"/>
  <c r="F20" i="6"/>
  <c r="E20" i="6"/>
  <c r="D20" i="6"/>
  <c r="C20" i="6"/>
  <c r="B20" i="6"/>
  <c r="A20" i="6"/>
  <c r="R19" i="6"/>
  <c r="Q19" i="6"/>
  <c r="P19" i="6"/>
  <c r="O19" i="6"/>
  <c r="N19" i="6"/>
  <c r="M19" i="6"/>
  <c r="K19" i="6"/>
  <c r="J19" i="6"/>
  <c r="I19" i="6"/>
  <c r="H19" i="6"/>
  <c r="F19" i="6"/>
  <c r="E19" i="6"/>
  <c r="D19" i="6"/>
  <c r="C19" i="6"/>
  <c r="B19" i="6"/>
  <c r="A19" i="6"/>
  <c r="R18" i="6"/>
  <c r="Q18" i="6"/>
  <c r="P18" i="6"/>
  <c r="O18" i="6"/>
  <c r="N18" i="6"/>
  <c r="M18" i="6"/>
  <c r="K18" i="6"/>
  <c r="J18" i="6"/>
  <c r="I18" i="6"/>
  <c r="H18" i="6"/>
  <c r="F18" i="6"/>
  <c r="E18" i="6"/>
  <c r="D18" i="6"/>
  <c r="C18" i="6"/>
  <c r="B18" i="6"/>
  <c r="A18" i="6"/>
  <c r="R17" i="6"/>
  <c r="Q17" i="6"/>
  <c r="P17" i="6"/>
  <c r="O17" i="6"/>
  <c r="N17" i="6"/>
  <c r="M17" i="6"/>
  <c r="K17" i="6"/>
  <c r="J17" i="6"/>
  <c r="I17" i="6"/>
  <c r="H17" i="6"/>
  <c r="F17" i="6"/>
  <c r="E17" i="6"/>
  <c r="D17" i="6"/>
  <c r="C17" i="6"/>
  <c r="B17" i="6"/>
  <c r="A17" i="6"/>
  <c r="R16" i="6"/>
  <c r="Q16" i="6"/>
  <c r="P16" i="6"/>
  <c r="O16" i="6"/>
  <c r="N16" i="6"/>
  <c r="M16" i="6"/>
  <c r="K16" i="6"/>
  <c r="J16" i="6"/>
  <c r="I16" i="6"/>
  <c r="H16" i="6"/>
  <c r="F16" i="6"/>
  <c r="E16" i="6"/>
  <c r="D16" i="6"/>
  <c r="C16" i="6"/>
  <c r="B16" i="6"/>
  <c r="A16" i="6"/>
  <c r="Q10" i="6"/>
  <c r="Q9" i="6"/>
  <c r="Q8" i="6"/>
  <c r="Q7" i="6"/>
  <c r="Q6" i="6"/>
  <c r="R10" i="6" l="1"/>
  <c r="P10" i="6"/>
  <c r="O10" i="6"/>
  <c r="N10" i="6"/>
  <c r="M10" i="6"/>
  <c r="K10" i="6"/>
  <c r="J10" i="6"/>
  <c r="I10" i="6"/>
  <c r="H10" i="6"/>
  <c r="E10" i="6"/>
  <c r="D10" i="6"/>
  <c r="C10" i="6"/>
  <c r="B10" i="6"/>
  <c r="A10" i="6"/>
  <c r="R9" i="6"/>
  <c r="P9" i="6"/>
  <c r="O9" i="6"/>
  <c r="N9" i="6"/>
  <c r="M9" i="6"/>
  <c r="K9" i="6"/>
  <c r="J9" i="6"/>
  <c r="I9" i="6"/>
  <c r="H9" i="6"/>
  <c r="F9" i="6"/>
  <c r="E9" i="6"/>
  <c r="D9" i="6"/>
  <c r="C9" i="6"/>
  <c r="B9" i="6"/>
  <c r="A9" i="6"/>
  <c r="R8" i="6"/>
  <c r="P8" i="6"/>
  <c r="O8" i="6"/>
  <c r="N8" i="6"/>
  <c r="M8" i="6"/>
  <c r="K8" i="6"/>
  <c r="J8" i="6"/>
  <c r="I8" i="6"/>
  <c r="H8" i="6"/>
  <c r="F8" i="6"/>
  <c r="E8" i="6"/>
  <c r="D8" i="6"/>
  <c r="C8" i="6"/>
  <c r="B8" i="6"/>
  <c r="A8" i="6"/>
  <c r="R7" i="6"/>
  <c r="P7" i="6"/>
  <c r="O7" i="6"/>
  <c r="N7" i="6"/>
  <c r="M7" i="6"/>
  <c r="K7" i="6"/>
  <c r="J7" i="6"/>
  <c r="I7" i="6"/>
  <c r="H7" i="6"/>
  <c r="F7" i="6"/>
  <c r="E7" i="6"/>
  <c r="D7" i="6"/>
  <c r="C7" i="6"/>
  <c r="B7" i="6"/>
  <c r="A7" i="6"/>
  <c r="R6" i="6"/>
  <c r="P6" i="6"/>
  <c r="O6" i="6"/>
  <c r="N6" i="6"/>
  <c r="M6" i="6"/>
  <c r="K6" i="6"/>
  <c r="J6" i="6"/>
  <c r="I6" i="6"/>
  <c r="H6" i="6"/>
  <c r="F6" i="6"/>
  <c r="E6" i="6"/>
  <c r="D6" i="6"/>
  <c r="C6" i="6"/>
  <c r="B6" i="6"/>
  <c r="A6" i="6"/>
  <c r="Q5" i="6"/>
  <c r="P5" i="6"/>
  <c r="O5" i="6"/>
  <c r="N5" i="6"/>
  <c r="M5" i="6"/>
  <c r="K5" i="6"/>
  <c r="J5" i="6"/>
  <c r="I5" i="6"/>
  <c r="H5" i="6"/>
  <c r="F5" i="6"/>
  <c r="E5" i="6"/>
  <c r="D5" i="6"/>
  <c r="C5" i="6"/>
  <c r="B5" i="6"/>
  <c r="A5" i="6"/>
  <c r="K3" i="2" l="1"/>
  <c r="K4" i="2"/>
  <c r="K5" i="2"/>
  <c r="K6" i="2"/>
  <c r="K7" i="2"/>
  <c r="K8" i="2"/>
  <c r="K9" i="2"/>
  <c r="K10" i="2"/>
  <c r="K11" i="2"/>
  <c r="K12" i="2"/>
  <c r="K13" i="2"/>
  <c r="K14" i="2"/>
  <c r="K15" i="2"/>
  <c r="K2" i="2"/>
</calcChain>
</file>

<file path=xl/sharedStrings.xml><?xml version="1.0" encoding="utf-8"?>
<sst xmlns="http://schemas.openxmlformats.org/spreadsheetml/2006/main" count="536" uniqueCount="163">
  <si>
    <t>الحصص</t>
  </si>
  <si>
    <t>من - إلى</t>
  </si>
  <si>
    <t>الصف الأول</t>
  </si>
  <si>
    <t>تحفيظ القرآن</t>
  </si>
  <si>
    <t>my;Fu;Md; kddk;</t>
  </si>
  <si>
    <t>jg;]Pu;</t>
  </si>
  <si>
    <t>c]{Yj; jg;]Pu;</t>
  </si>
  <si>
    <t>`jP];</t>
  </si>
  <si>
    <t>c]{Yy; `jP];</t>
  </si>
  <si>
    <t>gpf;`;</t>
  </si>
  <si>
    <t>c]{Yy; gpf;`;</t>
  </si>
  <si>
    <t>mfPjh</t>
  </si>
  <si>
    <t>ghfg; gpuptpid</t>
  </si>
  <si>
    <t>التاريخ الإسلامي</t>
  </si>
  <si>
    <t>tuyhW</t>
  </si>
  <si>
    <t>ترجمة القرآن</t>
  </si>
  <si>
    <t>ju;[{kJy; Fu;Md;</t>
  </si>
  <si>
    <t>m`;yhf;</t>
  </si>
  <si>
    <t>,yf;fzk;</t>
  </si>
  <si>
    <t>]u;g;</t>
  </si>
  <si>
    <t>muGg; ghi\ (,d;\h)</t>
  </si>
  <si>
    <t>muGg; ghi\( fpuhj;)</t>
  </si>
  <si>
    <t>,yf;fpak;</t>
  </si>
  <si>
    <t>nrhw;Nfhu;g;Gf; fiy</t>
  </si>
  <si>
    <t>kd;jpf;</t>
  </si>
  <si>
    <t>gpuf;</t>
  </si>
  <si>
    <t>kPfhj;</t>
  </si>
  <si>
    <t>mj;ahd;</t>
  </si>
  <si>
    <t>j[;tPj;</t>
  </si>
  <si>
    <t>اللغة الأردية</t>
  </si>
  <si>
    <t>cUJg; ghi\</t>
  </si>
  <si>
    <t>الخط العربي</t>
  </si>
  <si>
    <t>muG vOj;jzp</t>
  </si>
  <si>
    <t>m\;n\a;`; - ,u;\hj;</t>
  </si>
  <si>
    <t>ASH-SHAIKH   M.S.M IRSHAD</t>
  </si>
  <si>
    <t>m\;n\a;`; - K`k;kj;</t>
  </si>
  <si>
    <t>ASH-SHAIKH   S.M. MUHAMMEDH</t>
  </si>
  <si>
    <t>m\;n\a;`; - ghap]Pd;</t>
  </si>
  <si>
    <t>ASH-SHAIKH   M.R.M. FAYIZEEN</t>
  </si>
  <si>
    <t>m\;n\a;`; - `u;]hd;</t>
  </si>
  <si>
    <t>ASH-SHAIKH   S.H.M. HARSAN</t>
  </si>
  <si>
    <t>m\;n\a;`; - ,];]j;</t>
  </si>
  <si>
    <t>ASH-SHAIKH   K.M.IZZATH</t>
  </si>
  <si>
    <t>m\;n\a;`; - ,y;`hk;</t>
  </si>
  <si>
    <t>ASH-SHAIKH   M.J.M. ILHAM</t>
  </si>
  <si>
    <t>m\;n\a;`; - ,`;jp\hk;</t>
  </si>
  <si>
    <t>m\;n\a;`; - ig&amp;];</t>
  </si>
  <si>
    <t>ASH-SHAIKH   I.M.FAIROOS</t>
  </si>
  <si>
    <t>m\;n\a;`; - \`Pu; m`;kj;</t>
  </si>
  <si>
    <t>ASH-SHAIKH   M.S.SHAHEER AHMAD</t>
  </si>
  <si>
    <t>m\;n\a;`; - md;]g;</t>
  </si>
  <si>
    <t>ASH-SHAIKH   M.H.M.ANSAF</t>
  </si>
  <si>
    <t>m\;n\a;`; - ,f;uhk;</t>
  </si>
  <si>
    <t>ASH-SHAIKH   M.S.M. IKRAM</t>
  </si>
  <si>
    <t>m\;n\a;`; - ekP];</t>
  </si>
  <si>
    <t xml:space="preserve">ASH-SHAIKH   M.M.NAMEES </t>
  </si>
  <si>
    <t>m\;n\a;`; - md;g];</t>
  </si>
  <si>
    <t>ASH-SHAIKH   A.M.ANFAS</t>
  </si>
  <si>
    <t>m\;n\a;`; - mg;Jy;yh`;</t>
  </si>
  <si>
    <t>ASH-SHAIKH   A.R.ABDULLAH</t>
  </si>
  <si>
    <t>الشيخ إرشاد  (الرباني)</t>
  </si>
  <si>
    <t>الشيخ محمد  (الرشادي)</t>
  </si>
  <si>
    <t>الشيخ حرثان (الرشادي)</t>
  </si>
  <si>
    <t>الشيخ إلهام  (الرشادي)</t>
  </si>
  <si>
    <t>الشيخ أنصف  (الرشادي)</t>
  </si>
  <si>
    <t>الشيخ عزة (الإحساني)</t>
  </si>
  <si>
    <t>الشيخ نميس  (الإحساني)</t>
  </si>
  <si>
    <t>الشيخ فيروز (الصلاحي)</t>
  </si>
  <si>
    <t>الشيخ  شهير أحمد  (الصلاحي)</t>
  </si>
  <si>
    <t>الشيخ إكرام  (الصلاحي)</t>
  </si>
  <si>
    <t>الشيخ أنفس (الصلاحي)</t>
  </si>
  <si>
    <t>الشيخ عبد الله  (الصلاحي)</t>
  </si>
  <si>
    <t>الشيخ احتشام الحسن  (الباري)</t>
  </si>
  <si>
    <t>الشيخ فائزين  (النووي)</t>
  </si>
  <si>
    <t>10:10 - 10:50</t>
  </si>
  <si>
    <t xml:space="preserve"> </t>
  </si>
  <si>
    <t>7:35 - 8:25</t>
  </si>
  <si>
    <t>9:05 - 9:55</t>
  </si>
  <si>
    <t>10:50 - 11:30</t>
  </si>
  <si>
    <t>1:45 - 2:25</t>
  </si>
  <si>
    <t>2:25 - 3:05</t>
  </si>
  <si>
    <t>3:05 -3:45</t>
  </si>
  <si>
    <t>subject</t>
  </si>
  <si>
    <t>S/R No:</t>
  </si>
  <si>
    <t>Usthadh</t>
  </si>
  <si>
    <t>Class</t>
  </si>
  <si>
    <t>وقت صلاة الضحى 10:10 - 9:55</t>
  </si>
  <si>
    <t>وقت القيلولة و صلاة الظهر والغذاء 01:45 - 11:30</t>
  </si>
  <si>
    <t>المشورة الأسبوعية للأساتذة 11:30 - 10:00</t>
  </si>
  <si>
    <t>7:30 - 8:00</t>
  </si>
  <si>
    <t>8:00 - 8:30</t>
  </si>
  <si>
    <t>8:30 - 9:00</t>
  </si>
  <si>
    <t>9:00 - 9:30</t>
  </si>
  <si>
    <t>9:30 - 10:00</t>
  </si>
  <si>
    <t>6:30 - 7:00</t>
  </si>
  <si>
    <t>7:00 - 7:30</t>
  </si>
  <si>
    <t>10:15 - 10:45</t>
  </si>
  <si>
    <t>10:45 - 11:15</t>
  </si>
  <si>
    <t>11:15 - 11:45</t>
  </si>
  <si>
    <t>11:45 - 12:15</t>
  </si>
  <si>
    <t>12:15 - 12:45</t>
  </si>
  <si>
    <t>8:25 - 9:05</t>
  </si>
  <si>
    <t>علم الفقه</t>
  </si>
  <si>
    <t>علم الصرف (1)</t>
  </si>
  <si>
    <t>]u;g; (1)</t>
  </si>
  <si>
    <t>علم اللغة العربية (الإنشاء)</t>
  </si>
  <si>
    <t>علم اللغة العربية  (القراءة)</t>
  </si>
  <si>
    <t>علم التجويد</t>
  </si>
  <si>
    <t>قصص النبين (1,2)</t>
  </si>
  <si>
    <t>fp]]{d; egpa;aPd;</t>
  </si>
  <si>
    <t>علم الصرف (2)</t>
  </si>
  <si>
    <t>]u;g; (2)</t>
  </si>
  <si>
    <t>علم النحو</t>
  </si>
  <si>
    <t>علم الحديث الشريف</t>
  </si>
  <si>
    <t>علم الصرف</t>
  </si>
  <si>
    <t>علم العقيدة</t>
  </si>
  <si>
    <t>علم الأخلاق</t>
  </si>
  <si>
    <t>علم التفسير</t>
  </si>
  <si>
    <t>علم أصول التفسير</t>
  </si>
  <si>
    <t>علم أصول الحديث</t>
  </si>
  <si>
    <t>علم اللغة العربية</t>
  </si>
  <si>
    <t>علم أصول الفقه</t>
  </si>
  <si>
    <t>علم الميراث</t>
  </si>
  <si>
    <t>علم الأدب العربي</t>
  </si>
  <si>
    <t>علم البلاغة العربية</t>
  </si>
  <si>
    <t>علم المنطق</t>
  </si>
  <si>
    <t>علم الأديان</t>
  </si>
  <si>
    <t>علم الميقات</t>
  </si>
  <si>
    <t>علم الفرق</t>
  </si>
  <si>
    <t>ASH-SHAIKH   M.S.M.IHTHISAM</t>
  </si>
  <si>
    <t>كلمات القرآن</t>
  </si>
  <si>
    <t xml:space="preserve">  </t>
  </si>
  <si>
    <t>1k; tFg;G</t>
  </si>
  <si>
    <t>2k; tFg;G</t>
  </si>
  <si>
    <t>3k; tFg;G</t>
  </si>
  <si>
    <t>4k; tFg;G</t>
  </si>
  <si>
    <t>5k; tFg;G</t>
  </si>
  <si>
    <t>6k; tFg;G</t>
  </si>
  <si>
    <t>7k; tFg;G</t>
  </si>
  <si>
    <t>ghl myF</t>
  </si>
  <si>
    <t>1k; ghlk;</t>
  </si>
  <si>
    <t>2k; ghlk;</t>
  </si>
  <si>
    <t>3k; ghlk;</t>
  </si>
  <si>
    <t>4k; ghlk;</t>
  </si>
  <si>
    <t>5k; ghlk;</t>
  </si>
  <si>
    <t>6k; ghlk;</t>
  </si>
  <si>
    <t>7k; ghlk;</t>
  </si>
  <si>
    <t>8k; ghlk;</t>
  </si>
  <si>
    <t>muGg; ghi\ ( fpuhj;)</t>
  </si>
  <si>
    <t>my; - ]yh`; muGf; fy;Y}up - NgUtis</t>
  </si>
  <si>
    <t>ehshe;j ghlNeu ml;ltid - 2026</t>
  </si>
  <si>
    <t>QhapW</t>
  </si>
  <si>
    <t>nrt;tha;</t>
  </si>
  <si>
    <t>Gjd;</t>
  </si>
  <si>
    <t>tpahod;</t>
  </si>
  <si>
    <t>jpq;fs;</t>
  </si>
  <si>
    <t>,ilNtis 10:10 - 9:55</t>
  </si>
  <si>
    <t>fypkhJy; Fu;Md;</t>
  </si>
  <si>
    <r>
      <t xml:space="preserve">        </t>
    </r>
    <r>
      <rPr>
        <b/>
        <sz val="14"/>
        <color rgb="FF000000"/>
        <rFont val="Bamini"/>
      </rPr>
      <t>10:00 - 8:30</t>
    </r>
    <r>
      <rPr>
        <sz val="11"/>
        <color rgb="FF000000"/>
        <rFont val="Bamini"/>
      </rPr>
      <t xml:space="preserve">   khztu; kd;wk; </t>
    </r>
  </si>
  <si>
    <r>
      <t xml:space="preserve">    </t>
    </r>
    <r>
      <rPr>
        <b/>
        <sz val="14"/>
        <color rgb="FF000000"/>
        <rFont val="Bamini"/>
      </rPr>
      <t>8:20 -   8:00</t>
    </r>
    <r>
      <rPr>
        <b/>
        <sz val="12"/>
        <color rgb="FF000000"/>
        <rFont val="Bamini"/>
      </rPr>
      <t xml:space="preserve"> </t>
    </r>
    <r>
      <rPr>
        <sz val="11"/>
        <color rgb="FF000000"/>
        <rFont val="Bamini"/>
      </rPr>
      <t xml:space="preserve"> fhiy rhg;ghl;L Neuk;</t>
    </r>
  </si>
  <si>
    <r>
      <t xml:space="preserve">ifYUyh J}f;fk;&gt; Y`u; njhOif kw;Wk; gfYzT Neuk; </t>
    </r>
    <r>
      <rPr>
        <b/>
        <sz val="14"/>
        <color rgb="FF000000"/>
        <rFont val="Bamini"/>
      </rPr>
      <t>01:45 - 11:30</t>
    </r>
  </si>
  <si>
    <r>
      <t xml:space="preserve">ifYUyh J}f;fk;&gt; Y`u; njhOif kw;Wk; gfYzT Neuk; </t>
    </r>
    <r>
      <rPr>
        <b/>
        <sz val="11"/>
        <color rgb="FF000000"/>
        <rFont val="Bamini"/>
      </rPr>
      <t>01:45 - 11:30</t>
    </r>
  </si>
  <si>
    <r>
      <t xml:space="preserve">c];jhj;khupd; thuhe;j k\{uh </t>
    </r>
    <r>
      <rPr>
        <b/>
        <sz val="11"/>
        <color rgb="FF000000"/>
        <rFont val="Bamini"/>
      </rPr>
      <t>11:30 - 10:00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</si>
</sst>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A_Nefel_Adeti_Qelew"/>
    </font>
    <font>
      <sz val="11"/>
      <color theme="1"/>
      <name val="A_Nefel_Adeti_Qelew"/>
    </font>
    <font>
      <sz val="12"/>
      <color rgb="FF000000"/>
      <name val="Urdu Najd v3"/>
      <charset val="178"/>
    </font>
    <font>
      <sz val="10"/>
      <color theme="1"/>
      <name val="A_Nefel_Botan"/>
    </font>
    <font>
      <sz val="10"/>
      <color rgb="FF000000"/>
      <name val="Traditional Arabic"/>
      <family val="1"/>
    </font>
    <font>
      <sz val="10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2"/>
      <color rgb="FF002060"/>
      <name val="Calibri"/>
      <family val="2"/>
      <scheme val="minor"/>
    </font>
    <font>
      <sz val="11"/>
      <color theme="1"/>
      <name val="A_Nefel_Botan"/>
    </font>
    <font>
      <sz val="25"/>
      <color theme="1"/>
      <name val="Bamini"/>
    </font>
    <font>
      <sz val="14"/>
      <color rgb="FF000000"/>
      <name val="Bamini"/>
    </font>
    <font>
      <sz val="11"/>
      <color theme="1"/>
      <name val="Bamini"/>
    </font>
    <font>
      <sz val="14"/>
      <color theme="1"/>
      <name val="Bamini"/>
    </font>
    <font>
      <sz val="24"/>
      <color theme="1"/>
      <name val="Bamini"/>
    </font>
    <font>
      <sz val="11"/>
      <color rgb="FF000000"/>
      <name val="Bamini"/>
    </font>
    <font>
      <b/>
      <sz val="14"/>
      <color rgb="FF000000"/>
      <name val="Bamini"/>
    </font>
    <font>
      <b/>
      <sz val="12"/>
      <color rgb="FF000000"/>
      <name val="Bamini"/>
    </font>
    <font>
      <sz val="12"/>
      <color rgb="FF000000"/>
      <name val="Bamini"/>
    </font>
    <font>
      <sz val="16"/>
      <color rgb="FF000000"/>
      <name val="Bamini"/>
    </font>
    <font>
      <sz val="12"/>
      <color theme="1"/>
      <name val="Bamini"/>
    </font>
    <font>
      <sz val="15"/>
      <color theme="1"/>
      <name val="Bamini"/>
    </font>
    <font>
      <sz val="10"/>
      <color rgb="FF000000"/>
      <name val="Bamini"/>
    </font>
    <font>
      <sz val="22"/>
      <color theme="1"/>
      <name val="Bamini"/>
    </font>
    <font>
      <sz val="36"/>
      <color theme="1"/>
      <name val="Bamini"/>
    </font>
    <font>
      <b/>
      <sz val="11"/>
      <color rgb="FF000000"/>
      <name val="Bamini"/>
    </font>
    <font>
      <sz val="8"/>
      <color theme="1"/>
      <name val="Bamini"/>
    </font>
  </fonts>
  <fills count="1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EDDD1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0"/>
      </right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theme="0"/>
      </left>
      <right style="thin">
        <color theme="1"/>
      </right>
      <top style="thin">
        <color theme="1"/>
      </top>
      <bottom/>
      <diagonal/>
    </border>
    <border>
      <left style="thin">
        <color theme="0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0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 style="thin">
        <color theme="0"/>
      </right>
      <top style="thin">
        <color theme="1"/>
      </top>
      <bottom style="thin">
        <color theme="1"/>
      </bottom>
      <diagonal/>
    </border>
    <border>
      <left style="thin">
        <color theme="0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/>
      </left>
      <right/>
      <top style="thin">
        <color theme="1"/>
      </top>
      <bottom style="thin">
        <color theme="1"/>
      </bottom>
      <diagonal/>
    </border>
    <border>
      <left/>
      <right style="thin">
        <color theme="0"/>
      </right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 style="thin">
        <color theme="1"/>
      </bottom>
      <diagonal/>
    </border>
    <border>
      <left style="thin">
        <color theme="0"/>
      </left>
      <right/>
      <top/>
      <bottom style="thin">
        <color theme="1"/>
      </bottom>
      <diagonal/>
    </border>
    <border>
      <left style="thin">
        <color theme="0"/>
      </left>
      <right/>
      <top style="thin">
        <color theme="1"/>
      </top>
      <bottom/>
      <diagonal/>
    </border>
    <border>
      <left/>
      <right style="thin">
        <color theme="0"/>
      </right>
      <top/>
      <bottom style="thin">
        <color theme="1"/>
      </bottom>
      <diagonal/>
    </border>
    <border>
      <left/>
      <right style="thin">
        <color theme="0"/>
      </right>
      <top style="thin">
        <color theme="1"/>
      </top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1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1"/>
      </right>
      <top style="thin">
        <color indexed="64"/>
      </top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/>
      <diagonal/>
    </border>
    <border>
      <left style="thin">
        <color theme="1"/>
      </left>
      <right/>
      <top style="thin">
        <color indexed="64"/>
      </top>
      <bottom/>
      <diagonal/>
    </border>
    <border>
      <left/>
      <right style="thin">
        <color theme="1"/>
      </right>
      <top style="thin">
        <color indexed="64"/>
      </top>
      <bottom/>
      <diagonal/>
    </border>
    <border>
      <left style="thin">
        <color theme="0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/>
      <top style="thin">
        <color indexed="64"/>
      </top>
      <bottom style="thin">
        <color theme="1"/>
      </bottom>
      <diagonal/>
    </border>
    <border>
      <left/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theme="0"/>
      </right>
      <top style="thin">
        <color indexed="64"/>
      </top>
      <bottom style="thin">
        <color theme="1"/>
      </bottom>
      <diagonal/>
    </border>
    <border>
      <left style="thin">
        <color theme="0"/>
      </left>
      <right/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67">
    <xf numFmtId="0" fontId="0" fillId="0" borderId="0" xfId="0"/>
    <xf numFmtId="0" fontId="7" fillId="5" borderId="6" xfId="0" applyFont="1" applyFill="1" applyBorder="1" applyAlignment="1">
      <alignment horizontal="left" vertical="center" wrapText="1"/>
    </xf>
    <xf numFmtId="0" fontId="8" fillId="0" borderId="7" xfId="0" applyFont="1" applyBorder="1"/>
    <xf numFmtId="0" fontId="8" fillId="0" borderId="11" xfId="0" applyFont="1" applyBorder="1"/>
    <xf numFmtId="0" fontId="7" fillId="5" borderId="1" xfId="0" applyFont="1" applyFill="1" applyBorder="1" applyAlignment="1">
      <alignment horizontal="left" vertical="center" wrapText="1"/>
    </xf>
    <xf numFmtId="0" fontId="9" fillId="0" borderId="0" xfId="0" applyFont="1" applyAlignment="1">
      <alignment readingOrder="1"/>
    </xf>
    <xf numFmtId="0" fontId="0" fillId="0" borderId="0" xfId="0" applyAlignment="1">
      <alignment readingOrder="1"/>
    </xf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0" fillId="11" borderId="0" xfId="0" applyFill="1" applyAlignment="1">
      <alignment horizontal="center" vertical="center"/>
    </xf>
    <xf numFmtId="0" fontId="10" fillId="11" borderId="4" xfId="0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5" fillId="8" borderId="2" xfId="1" applyFont="1" applyFill="1" applyBorder="1" applyAlignment="1">
      <alignment horizontal="center" vertical="center" wrapText="1" readingOrder="1"/>
    </xf>
    <xf numFmtId="0" fontId="12" fillId="0" borderId="23" xfId="1" applyFont="1" applyBorder="1" applyAlignment="1">
      <alignment horizontal="center" readingOrder="2"/>
    </xf>
    <xf numFmtId="0" fontId="12" fillId="0" borderId="28" xfId="1" applyFont="1" applyBorder="1" applyAlignment="1">
      <alignment horizontal="center" readingOrder="2"/>
    </xf>
    <xf numFmtId="0" fontId="13" fillId="12" borderId="6" xfId="1" applyFont="1" applyFill="1" applyBorder="1" applyAlignment="1">
      <alignment horizontal="center" vertical="center" readingOrder="1"/>
    </xf>
    <xf numFmtId="0" fontId="14" fillId="0" borderId="0" xfId="0" applyFont="1"/>
    <xf numFmtId="0" fontId="14" fillId="0" borderId="0" xfId="1" applyFont="1"/>
    <xf numFmtId="0" fontId="15" fillId="0" borderId="0" xfId="0" applyFont="1"/>
    <xf numFmtId="0" fontId="16" fillId="0" borderId="25" xfId="1" applyFont="1" applyBorder="1" applyAlignment="1">
      <alignment horizontal="center" readingOrder="2"/>
    </xf>
    <xf numFmtId="0" fontId="16" fillId="0" borderId="0" xfId="1" applyFont="1" applyAlignment="1">
      <alignment horizontal="center" readingOrder="2"/>
    </xf>
    <xf numFmtId="0" fontId="16" fillId="0" borderId="17" xfId="1" applyFont="1" applyBorder="1" applyAlignment="1">
      <alignment horizontal="center" readingOrder="2"/>
    </xf>
    <xf numFmtId="0" fontId="16" fillId="0" borderId="27" xfId="1" applyFont="1" applyBorder="1" applyAlignment="1">
      <alignment horizontal="center" readingOrder="2"/>
    </xf>
    <xf numFmtId="0" fontId="13" fillId="12" borderId="6" xfId="1" applyFont="1" applyFill="1" applyBorder="1" applyAlignment="1">
      <alignment horizontal="center" vertical="center" readingOrder="1"/>
    </xf>
    <xf numFmtId="0" fontId="13" fillId="12" borderId="2" xfId="1" applyFont="1" applyFill="1" applyBorder="1" applyAlignment="1">
      <alignment horizontal="center" vertical="center" readingOrder="1"/>
    </xf>
    <xf numFmtId="0" fontId="13" fillId="12" borderId="15" xfId="1" applyFont="1" applyFill="1" applyBorder="1" applyAlignment="1">
      <alignment horizontal="center" vertical="center" readingOrder="1"/>
    </xf>
    <xf numFmtId="0" fontId="17" fillId="0" borderId="28" xfId="1" applyFont="1" applyBorder="1" applyAlignment="1">
      <alignment horizontal="center" vertical="center" textRotation="90" readingOrder="2"/>
    </xf>
    <xf numFmtId="0" fontId="13" fillId="12" borderId="1" xfId="1" applyFont="1" applyFill="1" applyBorder="1" applyAlignment="1">
      <alignment horizontal="center" vertical="center" readingOrder="1"/>
    </xf>
    <xf numFmtId="0" fontId="20" fillId="12" borderId="3" xfId="1" applyFont="1" applyFill="1" applyBorder="1" applyAlignment="1">
      <alignment horizontal="center" vertical="center" wrapText="1" readingOrder="1"/>
    </xf>
    <xf numFmtId="0" fontId="21" fillId="9" borderId="3" xfId="1" applyFont="1" applyFill="1" applyBorder="1" applyAlignment="1">
      <alignment horizontal="center" vertical="center" wrapText="1" readingOrder="2"/>
    </xf>
    <xf numFmtId="0" fontId="20" fillId="9" borderId="3" xfId="1" applyFont="1" applyFill="1" applyBorder="1" applyAlignment="1">
      <alignment horizontal="center" vertical="center" wrapText="1" readingOrder="2"/>
    </xf>
    <xf numFmtId="0" fontId="13" fillId="12" borderId="22" xfId="1" applyFont="1" applyFill="1" applyBorder="1" applyAlignment="1">
      <alignment horizontal="center" vertical="center" readingOrder="1"/>
    </xf>
    <xf numFmtId="0" fontId="13" fillId="12" borderId="18" xfId="1" applyFont="1" applyFill="1" applyBorder="1" applyAlignment="1">
      <alignment horizontal="center" vertical="center" readingOrder="1"/>
    </xf>
    <xf numFmtId="0" fontId="17" fillId="0" borderId="0" xfId="1" applyFont="1" applyAlignment="1">
      <alignment horizontal="center" vertical="center" textRotation="90" readingOrder="2"/>
    </xf>
    <xf numFmtId="0" fontId="20" fillId="12" borderId="4" xfId="1" applyFont="1" applyFill="1" applyBorder="1" applyAlignment="1">
      <alignment horizontal="center" vertical="center" wrapText="1" readingOrder="1"/>
    </xf>
    <xf numFmtId="0" fontId="20" fillId="9" borderId="1" xfId="1" applyFont="1" applyFill="1" applyBorder="1" applyAlignment="1">
      <alignment horizontal="center" vertical="center" wrapText="1" readingOrder="1"/>
    </xf>
    <xf numFmtId="0" fontId="14" fillId="0" borderId="16" xfId="1" applyFont="1" applyBorder="1" applyAlignment="1">
      <alignment horizontal="center" vertical="center" textRotation="90" wrapText="1" readingOrder="1"/>
    </xf>
    <xf numFmtId="0" fontId="22" fillId="0" borderId="30" xfId="1" applyFont="1" applyBorder="1" applyAlignment="1">
      <alignment horizontal="center" vertical="center" wrapText="1" readingOrder="1"/>
    </xf>
    <xf numFmtId="0" fontId="14" fillId="0" borderId="29" xfId="1" applyFont="1" applyBorder="1" applyAlignment="1">
      <alignment horizontal="center" vertical="center" textRotation="90" wrapText="1" readingOrder="1"/>
    </xf>
    <xf numFmtId="0" fontId="20" fillId="12" borderId="2" xfId="1" applyFont="1" applyFill="1" applyBorder="1" applyAlignment="1">
      <alignment horizontal="center" vertical="center" wrapText="1" readingOrder="1"/>
    </xf>
    <xf numFmtId="0" fontId="23" fillId="3" borderId="1" xfId="1" applyFont="1" applyFill="1" applyBorder="1" applyAlignment="1">
      <alignment horizontal="center" vertical="center"/>
    </xf>
    <xf numFmtId="0" fontId="24" fillId="4" borderId="1" xfId="1" applyFont="1" applyFill="1" applyBorder="1" applyAlignment="1">
      <alignment horizontal="center" vertical="center" wrapText="1" readingOrder="2"/>
    </xf>
    <xf numFmtId="0" fontId="14" fillId="0" borderId="9" xfId="1" applyFont="1" applyBorder="1" applyAlignment="1">
      <alignment horizontal="center" vertical="center" textRotation="90" wrapText="1" readingOrder="1"/>
    </xf>
    <xf numFmtId="0" fontId="14" fillId="0" borderId="32" xfId="1" applyFont="1" applyBorder="1" applyAlignment="1">
      <alignment horizontal="center" vertical="center" textRotation="90" wrapText="1" readingOrder="1"/>
    </xf>
    <xf numFmtId="0" fontId="23" fillId="6" borderId="1" xfId="1" applyFont="1" applyFill="1" applyBorder="1" applyAlignment="1">
      <alignment horizontal="center" vertical="center"/>
    </xf>
    <xf numFmtId="0" fontId="22" fillId="0" borderId="20" xfId="1" applyFont="1" applyBorder="1" applyAlignment="1">
      <alignment horizontal="center" vertical="center" wrapText="1" readingOrder="1"/>
    </xf>
    <xf numFmtId="0" fontId="14" fillId="0" borderId="26" xfId="1" applyFont="1" applyBorder="1" applyAlignment="1">
      <alignment horizontal="center" vertical="center" textRotation="90" wrapText="1" readingOrder="1"/>
    </xf>
    <xf numFmtId="0" fontId="14" fillId="13" borderId="16" xfId="1" applyFont="1" applyFill="1" applyBorder="1" applyAlignment="1">
      <alignment horizontal="center" vertical="center" textRotation="90" wrapText="1" readingOrder="1"/>
    </xf>
    <xf numFmtId="0" fontId="22" fillId="13" borderId="20" xfId="1" applyFont="1" applyFill="1" applyBorder="1" applyAlignment="1">
      <alignment horizontal="center" vertical="center" wrapText="1" readingOrder="1"/>
    </xf>
    <xf numFmtId="0" fontId="14" fillId="13" borderId="26" xfId="1" applyFont="1" applyFill="1" applyBorder="1" applyAlignment="1">
      <alignment horizontal="center" vertical="center" textRotation="90" wrapText="1" readingOrder="1"/>
    </xf>
    <xf numFmtId="0" fontId="17" fillId="0" borderId="17" xfId="1" applyFont="1" applyBorder="1" applyAlignment="1">
      <alignment horizontal="center" vertical="center" textRotation="90" readingOrder="2"/>
    </xf>
    <xf numFmtId="0" fontId="14" fillId="0" borderId="0" xfId="0" applyFont="1" applyAlignment="1">
      <alignment readingOrder="1"/>
    </xf>
    <xf numFmtId="0" fontId="17" fillId="0" borderId="28" xfId="1" applyFont="1" applyBorder="1" applyAlignment="1">
      <alignment horizontal="center" vertical="center" textRotation="90" readingOrder="1"/>
    </xf>
    <xf numFmtId="0" fontId="17" fillId="0" borderId="0" xfId="1" applyFont="1" applyAlignment="1">
      <alignment horizontal="center" vertical="center" textRotation="90" readingOrder="1"/>
    </xf>
    <xf numFmtId="0" fontId="14" fillId="0" borderId="16" xfId="1" applyFont="1" applyBorder="1" applyAlignment="1">
      <alignment horizontal="center" vertical="center" textRotation="90" readingOrder="1"/>
    </xf>
    <xf numFmtId="0" fontId="14" fillId="0" borderId="29" xfId="1" applyFont="1" applyBorder="1" applyAlignment="1">
      <alignment horizontal="center" vertical="center" textRotation="90" readingOrder="1"/>
    </xf>
    <xf numFmtId="0" fontId="14" fillId="0" borderId="29" xfId="1" applyFont="1" applyBorder="1" applyAlignment="1">
      <alignment horizontal="center" vertical="center" textRotation="90" readingOrder="2"/>
    </xf>
    <xf numFmtId="0" fontId="14" fillId="0" borderId="9" xfId="1" applyFont="1" applyBorder="1" applyAlignment="1">
      <alignment horizontal="center" vertical="center" textRotation="90" readingOrder="1"/>
    </xf>
    <xf numFmtId="0" fontId="14" fillId="0" borderId="32" xfId="1" applyFont="1" applyBorder="1" applyAlignment="1">
      <alignment horizontal="center" vertical="center" textRotation="90" readingOrder="1"/>
    </xf>
    <xf numFmtId="0" fontId="14" fillId="0" borderId="26" xfId="1" applyFont="1" applyBorder="1" applyAlignment="1">
      <alignment horizontal="center" vertical="center" textRotation="90" readingOrder="1"/>
    </xf>
    <xf numFmtId="0" fontId="14" fillId="0" borderId="16" xfId="1" applyFont="1" applyBorder="1" applyAlignment="1">
      <alignment horizontal="center" vertical="center" textRotation="90" readingOrder="2"/>
    </xf>
    <xf numFmtId="0" fontId="23" fillId="6" borderId="3" xfId="1" applyFont="1" applyFill="1" applyBorder="1" applyAlignment="1">
      <alignment horizontal="center" vertical="center"/>
    </xf>
    <xf numFmtId="0" fontId="14" fillId="13" borderId="16" xfId="1" applyFont="1" applyFill="1" applyBorder="1" applyAlignment="1">
      <alignment horizontal="center" vertical="center" textRotation="90" readingOrder="1"/>
    </xf>
    <xf numFmtId="0" fontId="22" fillId="13" borderId="30" xfId="1" applyFont="1" applyFill="1" applyBorder="1" applyAlignment="1">
      <alignment horizontal="center" vertical="center" wrapText="1" readingOrder="1"/>
    </xf>
    <xf numFmtId="0" fontId="14" fillId="13" borderId="26" xfId="1" applyFont="1" applyFill="1" applyBorder="1" applyAlignment="1">
      <alignment horizontal="center" vertical="center" textRotation="90" readingOrder="1"/>
    </xf>
    <xf numFmtId="0" fontId="17" fillId="0" borderId="17" xfId="1" applyFont="1" applyBorder="1" applyAlignment="1">
      <alignment horizontal="center" vertical="center" textRotation="90" readingOrder="1"/>
    </xf>
    <xf numFmtId="0" fontId="14" fillId="13" borderId="16" xfId="1" applyFont="1" applyFill="1" applyBorder="1" applyAlignment="1">
      <alignment horizontal="center" vertical="center" textRotation="90" readingOrder="2"/>
    </xf>
    <xf numFmtId="0" fontId="23" fillId="6" borderId="7" xfId="1" applyFont="1" applyFill="1" applyBorder="1" applyAlignment="1">
      <alignment horizontal="center" vertical="center"/>
    </xf>
    <xf numFmtId="0" fontId="25" fillId="0" borderId="8" xfId="1" applyFont="1" applyBorder="1" applyAlignment="1">
      <alignment horizontal="left" indent="24" readingOrder="2"/>
    </xf>
    <xf numFmtId="0" fontId="26" fillId="0" borderId="12" xfId="1" applyFont="1" applyBorder="1" applyAlignment="1">
      <alignment horizontal="left" indent="24" readingOrder="2"/>
    </xf>
    <xf numFmtId="0" fontId="13" fillId="12" borderId="2" xfId="1" applyFont="1" applyFill="1" applyBorder="1" applyAlignment="1">
      <alignment vertical="center" readingOrder="1"/>
    </xf>
    <xf numFmtId="0" fontId="16" fillId="0" borderId="13" xfId="1" applyFont="1" applyBorder="1" applyAlignment="1">
      <alignment horizontal="center" readingOrder="1"/>
    </xf>
    <xf numFmtId="0" fontId="16" fillId="0" borderId="14" xfId="1" applyFont="1" applyBorder="1" applyAlignment="1">
      <alignment horizontal="center" readingOrder="1"/>
    </xf>
    <xf numFmtId="0" fontId="16" fillId="0" borderId="5" xfId="1" applyFont="1" applyBorder="1" applyAlignment="1">
      <alignment horizontal="center" readingOrder="1"/>
    </xf>
    <xf numFmtId="0" fontId="17" fillId="0" borderId="1" xfId="1" applyFont="1" applyBorder="1" applyAlignment="1">
      <alignment horizontal="center" vertical="center" textRotation="90" readingOrder="1"/>
    </xf>
    <xf numFmtId="0" fontId="17" fillId="0" borderId="1" xfId="1" applyFont="1" applyBorder="1" applyAlignment="1">
      <alignment horizontal="center" vertical="center" textRotation="90" wrapText="1" readingOrder="1"/>
    </xf>
    <xf numFmtId="0" fontId="20" fillId="12" borderId="1" xfId="1" applyFont="1" applyFill="1" applyBorder="1" applyAlignment="1">
      <alignment horizontal="center" vertical="center" wrapText="1" readingOrder="1"/>
    </xf>
    <xf numFmtId="0" fontId="20" fillId="12" borderId="22" xfId="1" applyFont="1" applyFill="1" applyBorder="1" applyAlignment="1">
      <alignment horizontal="center" vertical="center" wrapText="1" readingOrder="1"/>
    </xf>
    <xf numFmtId="0" fontId="20" fillId="12" borderId="18" xfId="1" applyFont="1" applyFill="1" applyBorder="1" applyAlignment="1">
      <alignment horizontal="center" vertical="center" wrapText="1" readingOrder="1"/>
    </xf>
    <xf numFmtId="0" fontId="20" fillId="12" borderId="33" xfId="1" applyFont="1" applyFill="1" applyBorder="1" applyAlignment="1">
      <alignment horizontal="center" vertical="center" wrapText="1" readingOrder="1"/>
    </xf>
    <xf numFmtId="0" fontId="22" fillId="0" borderId="31" xfId="1" applyFont="1" applyBorder="1" applyAlignment="1">
      <alignment horizontal="center" vertical="center" wrapText="1" readingOrder="1"/>
    </xf>
    <xf numFmtId="0" fontId="22" fillId="0" borderId="11" xfId="1" applyFont="1" applyBorder="1" applyAlignment="1">
      <alignment horizontal="center" vertical="center" wrapText="1" readingOrder="1"/>
    </xf>
    <xf numFmtId="0" fontId="22" fillId="0" borderId="27" xfId="1" applyFont="1" applyBorder="1" applyAlignment="1">
      <alignment horizontal="center" vertical="center" wrapText="1" readingOrder="1"/>
    </xf>
    <xf numFmtId="0" fontId="22" fillId="0" borderId="34" xfId="1" applyFont="1" applyBorder="1" applyAlignment="1">
      <alignment horizontal="center" vertical="center" wrapText="1" readingOrder="1"/>
    </xf>
    <xf numFmtId="0" fontId="14" fillId="0" borderId="36" xfId="1" applyFont="1" applyBorder="1" applyAlignment="1">
      <alignment horizontal="center" vertical="center" textRotation="90" wrapText="1" readingOrder="1"/>
    </xf>
    <xf numFmtId="0" fontId="14" fillId="0" borderId="21" xfId="1" applyFont="1" applyBorder="1" applyAlignment="1">
      <alignment horizontal="center" vertical="center" textRotation="90" wrapText="1" readingOrder="1"/>
    </xf>
    <xf numFmtId="0" fontId="22" fillId="0" borderId="19" xfId="1" applyFont="1" applyBorder="1" applyAlignment="1">
      <alignment horizontal="center" vertical="center" wrapText="1" readingOrder="1"/>
    </xf>
    <xf numFmtId="0" fontId="14" fillId="0" borderId="23" xfId="1" applyFont="1" applyBorder="1" applyAlignment="1">
      <alignment horizontal="center" vertical="center" textRotation="90" wrapText="1" readingOrder="1"/>
    </xf>
    <xf numFmtId="0" fontId="22" fillId="0" borderId="24" xfId="1" applyFont="1" applyBorder="1" applyAlignment="1">
      <alignment horizontal="center" vertical="center" wrapText="1" readingOrder="1"/>
    </xf>
    <xf numFmtId="0" fontId="22" fillId="0" borderId="35" xfId="1" applyFont="1" applyBorder="1" applyAlignment="1">
      <alignment horizontal="center" vertical="center" wrapText="1" readingOrder="1"/>
    </xf>
    <xf numFmtId="0" fontId="14" fillId="0" borderId="37" xfId="1" applyFont="1" applyBorder="1" applyAlignment="1">
      <alignment horizontal="center" vertical="center" textRotation="90" wrapText="1" readingOrder="1"/>
    </xf>
    <xf numFmtId="0" fontId="14" fillId="0" borderId="42" xfId="1" applyFont="1" applyBorder="1" applyAlignment="1">
      <alignment horizontal="center" vertical="center" textRotation="90" wrapText="1" readingOrder="1"/>
    </xf>
    <xf numFmtId="0" fontId="22" fillId="0" borderId="41" xfId="1" applyFont="1" applyBorder="1" applyAlignment="1">
      <alignment horizontal="center" vertical="center" wrapText="1" readingOrder="1"/>
    </xf>
    <xf numFmtId="0" fontId="14" fillId="0" borderId="43" xfId="1" applyFont="1" applyBorder="1" applyAlignment="1">
      <alignment horizontal="center" vertical="center" textRotation="90" wrapText="1" readingOrder="1"/>
    </xf>
    <xf numFmtId="0" fontId="22" fillId="0" borderId="44" xfId="1" applyFont="1" applyBorder="1" applyAlignment="1">
      <alignment horizontal="center" vertical="center" wrapText="1" readingOrder="1"/>
    </xf>
    <xf numFmtId="0" fontId="14" fillId="0" borderId="40" xfId="1" applyFont="1" applyBorder="1" applyAlignment="1">
      <alignment horizontal="center" vertical="center" textRotation="90" wrapText="1" readingOrder="1"/>
    </xf>
    <xf numFmtId="0" fontId="22" fillId="0" borderId="49" xfId="1" applyFont="1" applyBorder="1" applyAlignment="1">
      <alignment horizontal="center" vertical="center" wrapText="1" readingOrder="1"/>
    </xf>
    <xf numFmtId="0" fontId="14" fillId="0" borderId="50" xfId="1" applyFont="1" applyBorder="1" applyAlignment="1">
      <alignment horizontal="center" vertical="center" textRotation="90" wrapText="1" readingOrder="1"/>
    </xf>
    <xf numFmtId="0" fontId="14" fillId="13" borderId="29" xfId="1" applyFont="1" applyFill="1" applyBorder="1" applyAlignment="1">
      <alignment horizontal="center" vertical="center" textRotation="90" wrapText="1" readingOrder="1"/>
    </xf>
    <xf numFmtId="0" fontId="14" fillId="13" borderId="9" xfId="1" applyFont="1" applyFill="1" applyBorder="1" applyAlignment="1">
      <alignment horizontal="center" vertical="center" textRotation="90" wrapText="1" readingOrder="1"/>
    </xf>
    <xf numFmtId="0" fontId="22" fillId="13" borderId="11" xfId="1" applyFont="1" applyFill="1" applyBorder="1" applyAlignment="1">
      <alignment horizontal="center" vertical="center" wrapText="1" readingOrder="1"/>
    </xf>
    <xf numFmtId="0" fontId="22" fillId="13" borderId="31" xfId="1" applyFont="1" applyFill="1" applyBorder="1" applyAlignment="1">
      <alignment horizontal="center" vertical="center" wrapText="1" readingOrder="1"/>
    </xf>
    <xf numFmtId="0" fontId="14" fillId="13" borderId="36" xfId="1" applyFont="1" applyFill="1" applyBorder="1" applyAlignment="1">
      <alignment horizontal="center" vertical="center" textRotation="90" wrapText="1" readingOrder="1"/>
    </xf>
    <xf numFmtId="0" fontId="12" fillId="0" borderId="0" xfId="1" applyFont="1" applyAlignment="1">
      <alignment horizontal="center" readingOrder="2"/>
    </xf>
    <xf numFmtId="0" fontId="17" fillId="0" borderId="12" xfId="1" applyFont="1" applyBorder="1" applyAlignment="1">
      <alignment horizontal="center" vertical="center" textRotation="90" wrapText="1" readingOrder="1"/>
    </xf>
    <xf numFmtId="0" fontId="17" fillId="0" borderId="0" xfId="1" applyFont="1" applyAlignment="1">
      <alignment horizontal="center" vertical="center" textRotation="90" wrapText="1" readingOrder="1"/>
    </xf>
    <xf numFmtId="0" fontId="14" fillId="0" borderId="16" xfId="1" applyFont="1" applyBorder="1" applyAlignment="1">
      <alignment horizontal="center" vertical="center" textRotation="90" wrapText="1" readingOrder="2"/>
    </xf>
    <xf numFmtId="0" fontId="14" fillId="0" borderId="29" xfId="1" applyFont="1" applyBorder="1" applyAlignment="1">
      <alignment horizontal="center" vertical="center" textRotation="90" wrapText="1" readingOrder="2"/>
    </xf>
    <xf numFmtId="0" fontId="22" fillId="0" borderId="30" xfId="1" applyFont="1" applyBorder="1" applyAlignment="1">
      <alignment horizontal="center" vertical="center" wrapText="1" readingOrder="2"/>
    </xf>
    <xf numFmtId="0" fontId="14" fillId="0" borderId="9" xfId="1" applyFont="1" applyBorder="1" applyAlignment="1">
      <alignment horizontal="center" vertical="center" textRotation="90" wrapText="1" readingOrder="2"/>
    </xf>
    <xf numFmtId="0" fontId="14" fillId="0" borderId="32" xfId="1" applyFont="1" applyBorder="1" applyAlignment="1">
      <alignment horizontal="center" vertical="center" textRotation="90" wrapText="1" readingOrder="2"/>
    </xf>
    <xf numFmtId="0" fontId="14" fillId="0" borderId="26" xfId="1" applyFont="1" applyBorder="1" applyAlignment="1">
      <alignment horizontal="center" vertical="center" textRotation="90" wrapText="1" readingOrder="2"/>
    </xf>
    <xf numFmtId="0" fontId="14" fillId="0" borderId="21" xfId="1" applyFont="1" applyBorder="1" applyAlignment="1">
      <alignment horizontal="center" vertical="center" textRotation="90" wrapText="1" readingOrder="2"/>
    </xf>
    <xf numFmtId="0" fontId="14" fillId="0" borderId="23" xfId="1" applyFont="1" applyBorder="1" applyAlignment="1">
      <alignment horizontal="center" vertical="center" textRotation="90" wrapText="1" readingOrder="2"/>
    </xf>
    <xf numFmtId="0" fontId="14" fillId="13" borderId="38" xfId="1" applyFont="1" applyFill="1" applyBorder="1" applyAlignment="1">
      <alignment horizontal="center" vertical="center" textRotation="90" wrapText="1" readingOrder="1"/>
    </xf>
    <xf numFmtId="0" fontId="22" fillId="13" borderId="45" xfId="1" applyFont="1" applyFill="1" applyBorder="1" applyAlignment="1">
      <alignment horizontal="center" vertical="center" wrapText="1" readingOrder="1"/>
    </xf>
    <xf numFmtId="0" fontId="14" fillId="13" borderId="46" xfId="1" applyFont="1" applyFill="1" applyBorder="1" applyAlignment="1">
      <alignment horizontal="center" vertical="center" textRotation="90" wrapText="1" readingOrder="1"/>
    </xf>
    <xf numFmtId="0" fontId="22" fillId="13" borderId="47" xfId="1" applyFont="1" applyFill="1" applyBorder="1" applyAlignment="1">
      <alignment horizontal="center" vertical="center" wrapText="1" readingOrder="1"/>
    </xf>
    <xf numFmtId="0" fontId="14" fillId="13" borderId="48" xfId="1" applyFont="1" applyFill="1" applyBorder="1" applyAlignment="1">
      <alignment horizontal="center" vertical="center" textRotation="90" wrapText="1" readingOrder="1"/>
    </xf>
    <xf numFmtId="0" fontId="22" fillId="13" borderId="39" xfId="1" applyFont="1" applyFill="1" applyBorder="1" applyAlignment="1">
      <alignment horizontal="center" vertical="center" wrapText="1" readingOrder="1"/>
    </xf>
    <xf numFmtId="0" fontId="17" fillId="0" borderId="17" xfId="1" applyFont="1" applyBorder="1" applyAlignment="1">
      <alignment horizontal="center" vertical="center" textRotation="90" wrapText="1" readingOrder="1"/>
    </xf>
    <xf numFmtId="0" fontId="22" fillId="13" borderId="27" xfId="1" applyFont="1" applyFill="1" applyBorder="1" applyAlignment="1">
      <alignment horizontal="center" vertical="center" wrapText="1" readingOrder="1"/>
    </xf>
    <xf numFmtId="0" fontId="14" fillId="0" borderId="23" xfId="1" applyFont="1" applyBorder="1" applyAlignment="1">
      <alignment horizontal="center" readingOrder="2"/>
    </xf>
    <xf numFmtId="0" fontId="14" fillId="0" borderId="28" xfId="1" applyFont="1" applyBorder="1" applyAlignment="1">
      <alignment horizontal="center" readingOrder="2"/>
    </xf>
    <xf numFmtId="0" fontId="17" fillId="12" borderId="6" xfId="1" applyFont="1" applyFill="1" applyBorder="1" applyAlignment="1">
      <alignment horizontal="center" vertical="center" readingOrder="1"/>
    </xf>
    <xf numFmtId="0" fontId="14" fillId="0" borderId="25" xfId="1" applyFont="1" applyBorder="1" applyAlignment="1">
      <alignment horizontal="center" readingOrder="2"/>
    </xf>
    <xf numFmtId="0" fontId="14" fillId="0" borderId="0" xfId="1" applyFont="1" applyAlignment="1">
      <alignment horizontal="center" readingOrder="2"/>
    </xf>
    <xf numFmtId="0" fontId="14" fillId="0" borderId="17" xfId="1" applyFont="1" applyBorder="1" applyAlignment="1">
      <alignment horizontal="center" readingOrder="2"/>
    </xf>
    <xf numFmtId="0" fontId="14" fillId="0" borderId="27" xfId="1" applyFont="1" applyBorder="1" applyAlignment="1">
      <alignment horizontal="center" readingOrder="2"/>
    </xf>
    <xf numFmtId="0" fontId="17" fillId="12" borderId="6" xfId="1" applyFont="1" applyFill="1" applyBorder="1" applyAlignment="1">
      <alignment horizontal="center" vertical="center" readingOrder="1"/>
    </xf>
    <xf numFmtId="0" fontId="17" fillId="12" borderId="2" xfId="1" applyFont="1" applyFill="1" applyBorder="1" applyAlignment="1">
      <alignment horizontal="center" vertical="center" readingOrder="1"/>
    </xf>
    <xf numFmtId="0" fontId="17" fillId="12" borderId="1" xfId="1" applyFont="1" applyFill="1" applyBorder="1" applyAlignment="1">
      <alignment horizontal="center" vertical="center" readingOrder="1"/>
    </xf>
    <xf numFmtId="0" fontId="17" fillId="12" borderId="15" xfId="1" applyFont="1" applyFill="1" applyBorder="1" applyAlignment="1">
      <alignment horizontal="center" vertical="center" readingOrder="1"/>
    </xf>
    <xf numFmtId="0" fontId="17" fillId="12" borderId="3" xfId="1" applyFont="1" applyFill="1" applyBorder="1" applyAlignment="1">
      <alignment horizontal="center" vertical="center" wrapText="1" readingOrder="1"/>
    </xf>
    <xf numFmtId="0" fontId="17" fillId="9" borderId="3" xfId="1" applyFont="1" applyFill="1" applyBorder="1" applyAlignment="1">
      <alignment horizontal="center" vertical="center" wrapText="1" readingOrder="2"/>
    </xf>
    <xf numFmtId="0" fontId="17" fillId="12" borderId="8" xfId="1" applyFont="1" applyFill="1" applyBorder="1" applyAlignment="1">
      <alignment horizontal="center" vertical="center" readingOrder="1"/>
    </xf>
    <xf numFmtId="0" fontId="17" fillId="12" borderId="10" xfId="1" applyFont="1" applyFill="1" applyBorder="1" applyAlignment="1">
      <alignment horizontal="center" vertical="center" readingOrder="1"/>
    </xf>
    <xf numFmtId="0" fontId="17" fillId="12" borderId="8" xfId="1" applyFont="1" applyFill="1" applyBorder="1" applyAlignment="1">
      <alignment horizontal="center" vertical="center" readingOrder="2"/>
    </xf>
    <xf numFmtId="0" fontId="17" fillId="12" borderId="10" xfId="1" applyFont="1" applyFill="1" applyBorder="1" applyAlignment="1">
      <alignment horizontal="center" vertical="center" readingOrder="2"/>
    </xf>
    <xf numFmtId="0" fontId="17" fillId="12" borderId="4" xfId="1" applyFont="1" applyFill="1" applyBorder="1" applyAlignment="1">
      <alignment horizontal="center" vertical="center" wrapText="1" readingOrder="1"/>
    </xf>
    <xf numFmtId="0" fontId="17" fillId="9" borderId="1" xfId="1" applyFont="1" applyFill="1" applyBorder="1" applyAlignment="1">
      <alignment horizontal="center" vertical="center" wrapText="1" readingOrder="1"/>
    </xf>
    <xf numFmtId="0" fontId="14" fillId="0" borderId="30" xfId="1" applyFont="1" applyBorder="1" applyAlignment="1">
      <alignment horizontal="center" vertical="center" wrapText="1" readingOrder="1"/>
    </xf>
    <xf numFmtId="0" fontId="17" fillId="12" borderId="2" xfId="1" applyFont="1" applyFill="1" applyBorder="1" applyAlignment="1">
      <alignment horizontal="center" vertical="center" wrapText="1" readingOrder="1"/>
    </xf>
    <xf numFmtId="0" fontId="14" fillId="3" borderId="1" xfId="1" applyFont="1" applyFill="1" applyBorder="1" applyAlignment="1">
      <alignment horizontal="center" vertical="center"/>
    </xf>
    <xf numFmtId="0" fontId="17" fillId="4" borderId="1" xfId="1" applyFont="1" applyFill="1" applyBorder="1" applyAlignment="1">
      <alignment horizontal="center" vertical="center" wrapText="1" readingOrder="2"/>
    </xf>
    <xf numFmtId="0" fontId="14" fillId="6" borderId="1" xfId="1" applyFont="1" applyFill="1" applyBorder="1" applyAlignment="1">
      <alignment horizontal="center" vertical="center"/>
    </xf>
    <xf numFmtId="0" fontId="14" fillId="0" borderId="20" xfId="1" applyFont="1" applyBorder="1" applyAlignment="1">
      <alignment horizontal="center" vertical="center" wrapText="1" readingOrder="1"/>
    </xf>
    <xf numFmtId="0" fontId="14" fillId="6" borderId="3" xfId="1" applyFont="1" applyFill="1" applyBorder="1" applyAlignment="1">
      <alignment horizontal="center" vertical="center"/>
    </xf>
    <xf numFmtId="0" fontId="14" fillId="13" borderId="30" xfId="1" applyFont="1" applyFill="1" applyBorder="1" applyAlignment="1">
      <alignment horizontal="center" vertical="center" wrapText="1" readingOrder="1"/>
    </xf>
    <xf numFmtId="0" fontId="14" fillId="13" borderId="20" xfId="1" applyFont="1" applyFill="1" applyBorder="1" applyAlignment="1">
      <alignment horizontal="center" vertical="center" wrapText="1" readingOrder="1"/>
    </xf>
    <xf numFmtId="0" fontId="14" fillId="6" borderId="7" xfId="1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8" fillId="11" borderId="1" xfId="0" applyFont="1" applyFill="1" applyBorder="1" applyAlignment="1">
      <alignment horizontal="left" vertical="center" wrapText="1" indent="1"/>
    </xf>
    <xf numFmtId="0" fontId="14" fillId="0" borderId="1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EDDD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2759</xdr:colOff>
      <xdr:row>65</xdr:row>
      <xdr:rowOff>131379</xdr:rowOff>
    </xdr:from>
    <xdr:to>
      <xdr:col>1</xdr:col>
      <xdr:colOff>2759</xdr:colOff>
      <xdr:row>66</xdr:row>
      <xdr:rowOff>197069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 flipH="1">
          <a:off x="10795405106" y="34230879"/>
          <a:ext cx="0" cy="593228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16</xdr:col>
      <xdr:colOff>2286</xdr:colOff>
      <xdr:row>98</xdr:row>
      <xdr:rowOff>51289</xdr:rowOff>
    </xdr:from>
    <xdr:to>
      <xdr:col>16</xdr:col>
      <xdr:colOff>2286</xdr:colOff>
      <xdr:row>98</xdr:row>
      <xdr:rowOff>331437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 flipH="1">
          <a:off x="10787873502" y="47331924"/>
          <a:ext cx="0" cy="280148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ar-SA" sz="1400">
              <a:solidFill>
                <a:schemeClr val="tx1"/>
              </a:solidFill>
              <a:latin typeface="+mj-lt"/>
            </a:rPr>
            <a:t>8</a:t>
          </a:r>
          <a:endParaRPr lang="en-US" sz="1100">
            <a:solidFill>
              <a:schemeClr val="tx1"/>
            </a:solidFill>
            <a:latin typeface="+mj-lt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1803</xdr:colOff>
      <xdr:row>63</xdr:row>
      <xdr:rowOff>131379</xdr:rowOff>
    </xdr:from>
    <xdr:to>
      <xdr:col>1</xdr:col>
      <xdr:colOff>1803</xdr:colOff>
      <xdr:row>64</xdr:row>
      <xdr:rowOff>197069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 flipH="1">
          <a:off x="10704168349" y="33758770"/>
          <a:ext cx="0" cy="587495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16</xdr:col>
      <xdr:colOff>818505</xdr:colOff>
      <xdr:row>96</xdr:row>
      <xdr:rowOff>51289</xdr:rowOff>
    </xdr:from>
    <xdr:to>
      <xdr:col>16</xdr:col>
      <xdr:colOff>818505</xdr:colOff>
      <xdr:row>96</xdr:row>
      <xdr:rowOff>331437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 flipH="1">
          <a:off x="10696543343" y="46773485"/>
          <a:ext cx="0" cy="280148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ar-SA" sz="1400">
              <a:solidFill>
                <a:schemeClr val="tx1"/>
              </a:solidFill>
              <a:latin typeface="+mj-lt"/>
            </a:rPr>
            <a:t>8</a:t>
          </a:r>
          <a:endParaRPr lang="en-US" sz="1100">
            <a:solidFill>
              <a:schemeClr val="tx1"/>
            </a:solidFill>
            <a:latin typeface="+mj-lt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561</xdr:colOff>
      <xdr:row>63</xdr:row>
      <xdr:rowOff>131379</xdr:rowOff>
    </xdr:from>
    <xdr:to>
      <xdr:col>1</xdr:col>
      <xdr:colOff>561</xdr:colOff>
      <xdr:row>64</xdr:row>
      <xdr:rowOff>197069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 flipH="1">
          <a:off x="10749590589" y="34116579"/>
          <a:ext cx="0" cy="589565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18</xdr:col>
      <xdr:colOff>856605</xdr:colOff>
      <xdr:row>96</xdr:row>
      <xdr:rowOff>51289</xdr:rowOff>
    </xdr:from>
    <xdr:to>
      <xdr:col>18</xdr:col>
      <xdr:colOff>856605</xdr:colOff>
      <xdr:row>96</xdr:row>
      <xdr:rowOff>331437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 flipH="1">
          <a:off x="10741895595" y="47152414"/>
          <a:ext cx="0" cy="280148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ar-SA" sz="1400">
              <a:solidFill>
                <a:schemeClr val="tx1"/>
              </a:solidFill>
              <a:latin typeface="+mj-lt"/>
            </a:rPr>
            <a:t>8</a:t>
          </a:r>
          <a:endParaRPr lang="en-US" sz="1100">
            <a:solidFill>
              <a:schemeClr val="tx1"/>
            </a:solidFill>
            <a:latin typeface="+mj-lt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B99"/>
  <sheetViews>
    <sheetView rightToLeft="1" view="pageLayout" topLeftCell="A10" zoomScale="85" zoomScaleNormal="100" zoomScalePageLayoutView="85" workbookViewId="0">
      <selection activeCell="K7" sqref="A1:AB33"/>
    </sheetView>
  </sheetViews>
  <sheetFormatPr defaultColWidth="9.109375" defaultRowHeight="14.4"/>
  <cols>
    <col min="1" max="1" width="2.88671875" style="5" customWidth="1"/>
    <col min="2" max="2" width="11.6640625" style="6" customWidth="1"/>
    <col min="3" max="3" width="2.6640625" style="6" customWidth="1"/>
    <col min="4" max="4" width="11.6640625" style="6" customWidth="1"/>
    <col min="5" max="5" width="2.6640625" style="6" customWidth="1"/>
    <col min="6" max="6" width="11.6640625" style="6" customWidth="1"/>
    <col min="7" max="7" width="3.6640625" style="6" customWidth="1"/>
    <col min="8" max="8" width="2.6640625" style="6" customWidth="1"/>
    <col min="9" max="9" width="11.6640625" style="6" customWidth="1"/>
    <col min="10" max="10" width="2.6640625" style="6" customWidth="1"/>
    <col min="11" max="11" width="11.6640625" style="6" customWidth="1"/>
    <col min="12" max="12" width="3.88671875" style="6" customWidth="1"/>
    <col min="13" max="13" width="2.6640625" style="6" customWidth="1"/>
    <col min="14" max="14" width="11.6640625" style="6" customWidth="1"/>
    <col min="15" max="15" width="2.6640625" style="6" customWidth="1"/>
    <col min="16" max="16" width="11.6640625" style="6" customWidth="1"/>
    <col min="17" max="17" width="2.6640625" style="6" customWidth="1"/>
    <col min="18" max="18" width="11.6640625" style="6" customWidth="1"/>
    <col min="19" max="19" width="18.44140625" style="6" customWidth="1"/>
    <col min="20" max="22" width="4.33203125" hidden="1" customWidth="1"/>
    <col min="23" max="27" width="5" hidden="1" customWidth="1"/>
    <col min="28" max="28" width="12.109375" hidden="1" customWidth="1"/>
  </cols>
  <sheetData>
    <row r="1" spans="1:28" ht="42.75" customHeight="1">
      <c r="A1" s="80" t="s">
        <v>149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27" t="s">
        <v>151</v>
      </c>
      <c r="T1" s="82"/>
      <c r="U1" s="28"/>
      <c r="V1" s="28"/>
      <c r="W1" s="29"/>
      <c r="X1" s="29"/>
      <c r="Y1" s="30"/>
      <c r="Z1" s="29"/>
      <c r="AA1" s="29"/>
      <c r="AB1" s="29"/>
    </row>
    <row r="2" spans="1:28" ht="21.75" customHeight="1">
      <c r="A2" s="83" t="s">
        <v>150</v>
      </c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5"/>
      <c r="T2" s="28"/>
      <c r="U2" s="28"/>
      <c r="V2" s="28"/>
      <c r="W2" s="29"/>
      <c r="X2" s="29"/>
      <c r="Y2" s="29"/>
      <c r="Z2" s="29"/>
      <c r="AA2" s="29"/>
      <c r="AB2" s="29"/>
    </row>
    <row r="3" spans="1:28" ht="27" customHeight="1">
      <c r="A3" s="35" t="s">
        <v>147</v>
      </c>
      <c r="B3" s="36"/>
      <c r="C3" s="35" t="s">
        <v>146</v>
      </c>
      <c r="D3" s="36"/>
      <c r="E3" s="35" t="s">
        <v>145</v>
      </c>
      <c r="F3" s="37"/>
      <c r="G3" s="86" t="s">
        <v>160</v>
      </c>
      <c r="H3" s="37" t="s">
        <v>144</v>
      </c>
      <c r="I3" s="36"/>
      <c r="J3" s="35" t="s">
        <v>143</v>
      </c>
      <c r="K3" s="37"/>
      <c r="L3" s="87" t="s">
        <v>156</v>
      </c>
      <c r="M3" s="37" t="s">
        <v>142</v>
      </c>
      <c r="N3" s="36"/>
      <c r="O3" s="35" t="s">
        <v>141</v>
      </c>
      <c r="P3" s="36"/>
      <c r="Q3" s="35" t="s">
        <v>140</v>
      </c>
      <c r="R3" s="36"/>
      <c r="S3" s="40" t="s">
        <v>139</v>
      </c>
      <c r="T3" s="41">
        <v>8</v>
      </c>
      <c r="U3" s="41">
        <v>7</v>
      </c>
      <c r="V3" s="41">
        <v>6</v>
      </c>
      <c r="W3" s="41">
        <v>5</v>
      </c>
      <c r="X3" s="41">
        <v>4</v>
      </c>
      <c r="Y3" s="41">
        <v>3</v>
      </c>
      <c r="Z3" s="41">
        <v>2</v>
      </c>
      <c r="AA3" s="41">
        <v>1</v>
      </c>
      <c r="AB3" s="40" t="s">
        <v>139</v>
      </c>
    </row>
    <row r="4" spans="1:28" ht="21" customHeight="1">
      <c r="A4" s="88" t="s">
        <v>81</v>
      </c>
      <c r="B4" s="88"/>
      <c r="C4" s="89" t="s">
        <v>80</v>
      </c>
      <c r="D4" s="90"/>
      <c r="E4" s="89" t="s">
        <v>79</v>
      </c>
      <c r="F4" s="91"/>
      <c r="G4" s="86"/>
      <c r="H4" s="91" t="s">
        <v>78</v>
      </c>
      <c r="I4" s="90"/>
      <c r="J4" s="89" t="s">
        <v>74</v>
      </c>
      <c r="K4" s="91"/>
      <c r="L4" s="87"/>
      <c r="M4" s="91" t="s">
        <v>77</v>
      </c>
      <c r="N4" s="90"/>
      <c r="O4" s="89" t="s">
        <v>101</v>
      </c>
      <c r="P4" s="90"/>
      <c r="Q4" s="89" t="s">
        <v>76</v>
      </c>
      <c r="R4" s="90"/>
      <c r="S4" s="46"/>
      <c r="T4" s="41"/>
      <c r="U4" s="41"/>
      <c r="V4" s="41"/>
      <c r="W4" s="41"/>
      <c r="X4" s="41"/>
      <c r="Y4" s="41"/>
      <c r="Z4" s="41"/>
      <c r="AA4" s="41"/>
      <c r="AB4" s="46"/>
    </row>
    <row r="5" spans="1:28" ht="63.75" customHeight="1">
      <c r="A5" s="48">
        <f>VLOOKUP(T5,'Name List'!$C$2:$F$98,4,FALSE)</f>
        <v>26</v>
      </c>
      <c r="B5" s="57" t="str">
        <f>VLOOKUP(T5,'Name List'!$C$2:$F$98,2,FALSE)</f>
        <v>]u;g; (2)</v>
      </c>
      <c r="C5" s="50">
        <f>VLOOKUP(U5,'Name List'!$C$2:$F$98,4,FALSE)</f>
        <v>28</v>
      </c>
      <c r="D5" s="49" t="str">
        <f>VLOOKUP(U5,'Name List'!$C$2:$F$98,2,FALSE)</f>
        <v>muG vOj;jzp</v>
      </c>
      <c r="E5" s="50">
        <f>VLOOKUP(V5,'Name List'!$C$2:$F$98,4,FALSE)</f>
        <v>36</v>
      </c>
      <c r="F5" s="92" t="str">
        <f>VLOOKUP(V5,'Name List'!$C$2:$F$98,2,FALSE)</f>
        <v>j[;tPj;</v>
      </c>
      <c r="G5" s="86"/>
      <c r="H5" s="55">
        <f>VLOOKUP(W5,'Name List'!$C$2:$F$98,4,FALSE)</f>
        <v>39</v>
      </c>
      <c r="I5" s="49" t="str">
        <f>VLOOKUP(W5,'Name List'!$C$2:$F$98,2,FALSE)</f>
        <v>,yf;fzk;</v>
      </c>
      <c r="J5" s="50">
        <f>VLOOKUP(X5,'Name List'!$C$2:$F$98,4,FALSE)</f>
        <v>44</v>
      </c>
      <c r="K5" s="92" t="str">
        <f>VLOOKUP(X5,'Name List'!$C$2:$F$98,2,FALSE)</f>
        <v>gpf;`;</v>
      </c>
      <c r="L5" s="87"/>
      <c r="M5" s="55">
        <f>VLOOKUP(Y5,'Name List'!$C$2:$F$98,4,FALSE)</f>
        <v>31</v>
      </c>
      <c r="N5" s="49" t="str">
        <f>VLOOKUP(Y5,'Name List'!$C$2:$F$98,2,FALSE)</f>
        <v>muGg; ghi\ (,d;\h)</v>
      </c>
      <c r="O5" s="50">
        <f>VLOOKUP(Z5,'Name List'!$C$2:$F$98,4,FALSE)</f>
        <v>41</v>
      </c>
      <c r="P5" s="49" t="str">
        <f>VLOOKUP(Z5,'Name List'!$C$2:$F$98,2,FALSE)</f>
        <v>muGg; ghi\( fpuhj;)</v>
      </c>
      <c r="Q5" s="50">
        <f>VLOOKUP(AA5,'Name List'!$C$2:$F$98,4,FALSE)</f>
        <v>26</v>
      </c>
      <c r="R5" s="49" t="str">
        <f>VLOOKUP(AA5,'Name List'!$C$2:$F$98,2,FALSE)</f>
        <v>]u;g; (1)</v>
      </c>
      <c r="S5" s="51" t="s">
        <v>132</v>
      </c>
      <c r="T5" s="52">
        <v>94</v>
      </c>
      <c r="U5" s="52">
        <v>89</v>
      </c>
      <c r="V5" s="52">
        <v>84</v>
      </c>
      <c r="W5" s="52">
        <v>96</v>
      </c>
      <c r="X5" s="52">
        <v>26</v>
      </c>
      <c r="Y5" s="52">
        <v>63</v>
      </c>
      <c r="Z5" s="52">
        <v>64</v>
      </c>
      <c r="AA5" s="52">
        <v>61</v>
      </c>
      <c r="AB5" s="51" t="s">
        <v>132</v>
      </c>
    </row>
    <row r="6" spans="1:28" ht="63.75" customHeight="1">
      <c r="A6" s="50">
        <f>VLOOKUP(T6,'Name List'!$C$2:$F$98,4,FALSE)</f>
        <v>31</v>
      </c>
      <c r="B6" s="92" t="str">
        <f>VLOOKUP(T6,'Name List'!$C$2:$F$98,2,FALSE)</f>
        <v>gpf;`;</v>
      </c>
      <c r="C6" s="54">
        <f>VLOOKUP(U6,'Name List'!$C$2:$F$98,4,FALSE)</f>
        <v>41</v>
      </c>
      <c r="D6" s="93" t="str">
        <f>VLOOKUP(U6,'Name List'!$C$2:$F$98,2,FALSE)</f>
        <v>,yf;fzk;</v>
      </c>
      <c r="E6" s="55">
        <f>VLOOKUP(V6,'Name List'!$C$2:$F$98,4,FALSE)</f>
        <v>46</v>
      </c>
      <c r="F6" s="92" t="str">
        <f>VLOOKUP(V6,'Name List'!$C$2:$F$98,2,FALSE)</f>
        <v>muGg; ghi\ (,d;\h)</v>
      </c>
      <c r="G6" s="86"/>
      <c r="H6" s="55">
        <f>VLOOKUP(W6,'Name List'!$C$2:$F$98,4,FALSE)</f>
        <v>44</v>
      </c>
      <c r="I6" s="49" t="str">
        <f>VLOOKUP(W6,'Name List'!$C$2:$F$98,2,FALSE)</f>
        <v>j[;tPj;</v>
      </c>
      <c r="J6" s="50">
        <f>VLOOKUP(X6,'Name List'!$C$2:$F$98,4,FALSE)</f>
        <v>28</v>
      </c>
      <c r="K6" s="92" t="str">
        <f>VLOOKUP(X6,'Name List'!$C$2:$F$98,2,FALSE)</f>
        <v>my;Fu;Md; kddk;</v>
      </c>
      <c r="L6" s="87"/>
      <c r="M6" s="55">
        <f>VLOOKUP(Y6,'Name List'!$C$2:$F$98,4,FALSE)</f>
        <v>44</v>
      </c>
      <c r="N6" s="49" t="str">
        <f>VLOOKUP(Y6,'Name List'!$C$2:$F$98,2,FALSE)</f>
        <v>`jP];</v>
      </c>
      <c r="O6" s="50">
        <f>VLOOKUP(Z6,'Name List'!$C$2:$F$98,4,FALSE)</f>
        <v>28</v>
      </c>
      <c r="P6" s="49" t="str">
        <f>VLOOKUP(Z6,'Name List'!$C$2:$F$98,2,FALSE)</f>
        <v>]u;g;</v>
      </c>
      <c r="Q6" s="50">
        <f>VLOOKUP(AA6,'Name List'!$C$5:$F$99,4,FALSE)</f>
        <v>44</v>
      </c>
      <c r="R6" s="49" t="str">
        <f>VLOOKUP(AA6,'Name List'!$C$2:$F$98,2,FALSE)</f>
        <v>muGg; ghi\( fpuhj;)</v>
      </c>
      <c r="S6" s="51" t="s">
        <v>133</v>
      </c>
      <c r="T6" s="56">
        <v>27</v>
      </c>
      <c r="U6" s="56">
        <v>55</v>
      </c>
      <c r="V6" s="56">
        <v>65</v>
      </c>
      <c r="W6" s="56">
        <v>85</v>
      </c>
      <c r="X6" s="56">
        <v>2</v>
      </c>
      <c r="Y6" s="56">
        <v>16</v>
      </c>
      <c r="Z6" s="56">
        <v>62</v>
      </c>
      <c r="AA6" s="56">
        <v>66</v>
      </c>
      <c r="AB6" s="51" t="s">
        <v>133</v>
      </c>
    </row>
    <row r="7" spans="1:28" ht="63.75" customHeight="1">
      <c r="A7" s="50">
        <f>VLOOKUP(T7,'Name List'!$C$2:$F$98,4,FALSE)</f>
        <v>39</v>
      </c>
      <c r="B7" s="49" t="str">
        <f>VLOOKUP(T7,'Name List'!$C$2:$F$98,2,FALSE)</f>
        <v>j[;tPj;</v>
      </c>
      <c r="C7" s="54">
        <f>VLOOKUP(U7,'Name List'!$C$2:$F$98,4,FALSE)</f>
        <v>38</v>
      </c>
      <c r="D7" s="93" t="str">
        <f>VLOOKUP(U7,'Name List'!$C$2:$F$98,2,FALSE)</f>
        <v>`jP];</v>
      </c>
      <c r="E7" s="50">
        <f>VLOOKUP(V7,'Name List'!$C$2:$F$98,4,FALSE)</f>
        <v>41</v>
      </c>
      <c r="F7" s="92" t="str">
        <f>VLOOKUP(V7,'Name List'!$C$2:$F$98,2,FALSE)</f>
        <v>my;Fu;Md; kddk;</v>
      </c>
      <c r="G7" s="86"/>
      <c r="H7" s="55">
        <f>VLOOKUP(W7,'Name List'!$C$2:$F$98,4,FALSE)</f>
        <v>28</v>
      </c>
      <c r="I7" s="49" t="str">
        <f>VLOOKUP(W7,'Name List'!$C$2:$F$98,2,FALSE)</f>
        <v>mfPjh</v>
      </c>
      <c r="J7" s="50">
        <f>VLOOKUP(X7,'Name List'!$C$2:$F$98,4,FALSE)</f>
        <v>41</v>
      </c>
      <c r="K7" s="92" t="str">
        <f>VLOOKUP(X7,'Name List'!$C$2:$F$98,2,FALSE)</f>
        <v>cUJg; ghi\</v>
      </c>
      <c r="L7" s="87"/>
      <c r="M7" s="55">
        <f>VLOOKUP(Y7,'Name List'!$C$2:$F$98,4,FALSE)</f>
        <v>38</v>
      </c>
      <c r="N7" s="49" t="str">
        <f>VLOOKUP(Y7,'Name List'!$C$2:$F$98,2,FALSE)</f>
        <v>muGg; ghi\ (,d;\h)</v>
      </c>
      <c r="O7" s="50">
        <f>VLOOKUP(Z7,'Name List'!$C$2:$F$98,4,FALSE)</f>
        <v>26</v>
      </c>
      <c r="P7" s="49" t="str">
        <f>VLOOKUP(Z7,'Name List'!$C$2:$F$98,2,FALSE)</f>
        <v>gpf;`;</v>
      </c>
      <c r="Q7" s="50">
        <f>VLOOKUP(AA7,'Name List'!$C$8:$F$102,4,FALSE)</f>
        <v>41</v>
      </c>
      <c r="R7" s="49" t="str">
        <f>VLOOKUP(AA7,'Name List'!$C$2:$F$98,2,FALSE)</f>
        <v>,yf;fzk;</v>
      </c>
      <c r="S7" s="51" t="s">
        <v>134</v>
      </c>
      <c r="T7" s="56">
        <v>86</v>
      </c>
      <c r="U7" s="56">
        <v>17</v>
      </c>
      <c r="V7" s="56">
        <v>3</v>
      </c>
      <c r="W7" s="56">
        <v>36</v>
      </c>
      <c r="X7" s="56">
        <v>87</v>
      </c>
      <c r="Y7" s="56">
        <v>68</v>
      </c>
      <c r="Z7" s="56">
        <v>28</v>
      </c>
      <c r="AA7" s="56">
        <v>56</v>
      </c>
      <c r="AB7" s="51" t="s">
        <v>134</v>
      </c>
    </row>
    <row r="8" spans="1:28" ht="63.75" customHeight="1">
      <c r="A8" s="48">
        <f>VLOOKUP(T8,'Name List'!$C$2:$F$98,4,FALSE)</f>
        <v>46</v>
      </c>
      <c r="B8" s="57" t="str">
        <f>VLOOKUP(T8,'Name List'!$C$2:$F$98,2,FALSE)</f>
        <v>cUJg; ghi\</v>
      </c>
      <c r="C8" s="58">
        <f>VLOOKUP(U8,'Name List'!$C$2:$F$98,4,FALSE)</f>
        <v>36</v>
      </c>
      <c r="D8" s="94" t="str">
        <f>VLOOKUP(U8,'Name List'!$C$2:$F$98,2,FALSE)</f>
        <v>tuyhW</v>
      </c>
      <c r="E8" s="48">
        <f>VLOOKUP(V8,'Name List'!$C$2:$F$98,4,FALSE)</f>
        <v>38</v>
      </c>
      <c r="F8" s="95" t="str">
        <f>VLOOKUP(V8,'Name List'!$C$2:$F$98,2,FALSE)</f>
        <v>mfPjh</v>
      </c>
      <c r="G8" s="86"/>
      <c r="H8" s="96">
        <f>VLOOKUP(W8,'Name List'!$C$2:$F$98,4,FALSE)</f>
        <v>31</v>
      </c>
      <c r="I8" s="57" t="str">
        <f>VLOOKUP(W8,'Name List'!$C$2:$F$98,2,FALSE)</f>
        <v>gpf;`;</v>
      </c>
      <c r="J8" s="48">
        <f>VLOOKUP(X8,'Name List'!$C$2:$F$98,4,FALSE)</f>
        <v>46</v>
      </c>
      <c r="K8" s="95" t="str">
        <f>VLOOKUP(X8,'Name List'!$C$2:$F$98,2,FALSE)</f>
        <v>,yf;fzk;</v>
      </c>
      <c r="L8" s="87"/>
      <c r="M8" s="96">
        <f>VLOOKUP(Y8,'Name List'!$C$2:$F$98,4,FALSE)</f>
        <v>46</v>
      </c>
      <c r="N8" s="57" t="str">
        <f>VLOOKUP(Y8,'Name List'!$C$2:$F$98,2,FALSE)</f>
        <v>muGg; ghi\ (,d;\h)</v>
      </c>
      <c r="O8" s="48">
        <f>VLOOKUP(Z8,'Name List'!$C$2:$F$98,4,FALSE)</f>
        <v>39</v>
      </c>
      <c r="P8" s="57" t="str">
        <f>VLOOKUP(Z8,'Name List'!$C$2:$F$98,2,FALSE)</f>
        <v>jg;]Pu;</v>
      </c>
      <c r="Q8" s="48">
        <f>VLOOKUP(AA8,'Name List'!$C$11:$F$105,4,FALSE)</f>
        <v>46</v>
      </c>
      <c r="R8" s="57" t="str">
        <f>VLOOKUP(AA8,'Name List'!$C$2:$F$98,2,FALSE)</f>
        <v>`jP];</v>
      </c>
      <c r="S8" s="51" t="s">
        <v>135</v>
      </c>
      <c r="T8" s="56">
        <v>88</v>
      </c>
      <c r="U8" s="56">
        <v>45</v>
      </c>
      <c r="V8" s="56">
        <v>37</v>
      </c>
      <c r="W8" s="56">
        <v>29</v>
      </c>
      <c r="X8" s="56">
        <v>57</v>
      </c>
      <c r="Y8" s="56">
        <v>69</v>
      </c>
      <c r="Z8" s="56">
        <v>8</v>
      </c>
      <c r="AA8" s="56">
        <v>18</v>
      </c>
      <c r="AB8" s="51" t="s">
        <v>135</v>
      </c>
    </row>
    <row r="9" spans="1:28" ht="63.75" customHeight="1">
      <c r="A9" s="97">
        <f>VLOOKUP(T9,'Name List'!$C$2:$F$98,4,FALSE)</f>
        <v>36</v>
      </c>
      <c r="B9" s="98" t="str">
        <f>VLOOKUP(T9,'Name List'!$C$2:$F$98,2,FALSE)</f>
        <v>tuyhW</v>
      </c>
      <c r="C9" s="99">
        <f>VLOOKUP(U9,'Name List'!$C$2:$F$98,4,FALSE)</f>
        <v>36</v>
      </c>
      <c r="D9" s="100" t="str">
        <f>VLOOKUP(U9,'Name List'!$C$2:$F$98,2,FALSE)</f>
        <v>m`;yhf;</v>
      </c>
      <c r="E9" s="97">
        <f>VLOOKUP(V9,'Name List'!$C$2:$F$98,4,FALSE)</f>
        <v>28</v>
      </c>
      <c r="F9" s="101" t="str">
        <f>VLOOKUP(V9,'Name List'!$C$2:$F$98,2,FALSE)</f>
        <v>gpf;`;</v>
      </c>
      <c r="G9" s="86"/>
      <c r="H9" s="102">
        <f>VLOOKUP(W9,'Name List'!$C$2:$F$98,4,FALSE)</f>
        <v>46</v>
      </c>
      <c r="I9" s="98" t="str">
        <f>VLOOKUP(W9,'Name List'!$C$2:$F$98,2,FALSE)</f>
        <v>my;Fu;Md; kddk;</v>
      </c>
      <c r="J9" s="97">
        <f>VLOOKUP(X9,'Name List'!$C$2:$F$98,4,FALSE)</f>
        <v>39</v>
      </c>
      <c r="K9" s="101" t="str">
        <f>VLOOKUP(X9,'Name List'!$C$2:$F$98,2,FALSE)</f>
        <v>muGg; ghi\ (,d;\h)</v>
      </c>
      <c r="L9" s="87"/>
      <c r="M9" s="102">
        <f>VLOOKUP(Y9,'Name List'!$C$2:$F$98,4,FALSE)</f>
        <v>26</v>
      </c>
      <c r="N9" s="98" t="str">
        <f>VLOOKUP(Y9,'Name List'!$C$2:$F$98,2,FALSE)</f>
        <v>,yf;fzk;</v>
      </c>
      <c r="O9" s="97">
        <f>VLOOKUP(Z9,'Name List'!$C$2:$F$98,4,FALSE)</f>
        <v>36</v>
      </c>
      <c r="P9" s="98" t="str">
        <f>VLOOKUP(Z9,'Name List'!$C$2:$F$98,2,FALSE)</f>
        <v>`jP];</v>
      </c>
      <c r="Q9" s="97">
        <f>VLOOKUP(AA9,'Name List'!$C$15:$F$108,4,FALSE)</f>
        <v>28</v>
      </c>
      <c r="R9" s="98" t="str">
        <f>VLOOKUP(AA9,'Name List'!$C$2:$F$98,2,FALSE)</f>
        <v>jg;]Pu;</v>
      </c>
      <c r="S9" s="51" t="s">
        <v>136</v>
      </c>
      <c r="T9" s="56">
        <v>46</v>
      </c>
      <c r="U9" s="56">
        <v>52</v>
      </c>
      <c r="V9" s="56">
        <v>30</v>
      </c>
      <c r="W9" s="56">
        <v>5</v>
      </c>
      <c r="X9" s="56">
        <v>70</v>
      </c>
      <c r="Y9" s="56">
        <v>58</v>
      </c>
      <c r="Z9" s="56">
        <v>19</v>
      </c>
      <c r="AA9" s="56">
        <v>9</v>
      </c>
      <c r="AB9" s="51" t="s">
        <v>136</v>
      </c>
    </row>
    <row r="10" spans="1:28" ht="63.75" customHeight="1">
      <c r="A10" s="103">
        <f>VLOOKUP(T10,'Name List'!$C$2:$F$98,4,FALSE)</f>
        <v>41</v>
      </c>
      <c r="B10" s="104" t="str">
        <f>VLOOKUP(T10,'Name List'!$C$2:$F$98,2,FALSE)</f>
        <v>`jP];</v>
      </c>
      <c r="C10" s="105">
        <f>VLOOKUP(U10,'Name List'!$C$2:$F$98,4,FALSE)</f>
        <v>46</v>
      </c>
      <c r="D10" s="106" t="str">
        <f>VLOOKUP(U10,'Name List'!$C$2:$F$98,2,FALSE)</f>
        <v>mj;ahd;</v>
      </c>
      <c r="E10" s="107">
        <f>VLOOKUP(V10,'Name List'!$C$2:$F$98,4,FALSE)</f>
        <v>26</v>
      </c>
      <c r="F10" s="108" t="str">
        <f>VLOOKUP(V10,'Name List'!$C$2:$F$98,2,FALSE)</f>
        <v>,yf;fzk;</v>
      </c>
      <c r="G10" s="86"/>
      <c r="H10" s="109">
        <f>VLOOKUP(W10,'Name List'!$C$2:$F$98,4,FALSE)</f>
        <v>36</v>
      </c>
      <c r="I10" s="104" t="str">
        <f>VLOOKUP(W10,'Name List'!$C$2:$F$98,2,FALSE)</f>
        <v>tuyhW</v>
      </c>
      <c r="J10" s="107">
        <f>VLOOKUP(X10,'Name List'!$C$2:$F$98,4,FALSE)</f>
        <v>26</v>
      </c>
      <c r="K10" s="108" t="str">
        <f>VLOOKUP(X10,'Name List'!$C$2:$F$98,2,FALSE)</f>
        <v>gpf;`;</v>
      </c>
      <c r="L10" s="87"/>
      <c r="M10" s="109">
        <f>VLOOKUP(Y10,'Name List'!$C$2:$F$98,4,FALSE)</f>
        <v>36</v>
      </c>
      <c r="N10" s="104" t="str">
        <f>VLOOKUP(Y10,'Name List'!$C$2:$F$98,2,FALSE)</f>
        <v>jg;]Pu;</v>
      </c>
      <c r="O10" s="107">
        <f>VLOOKUP(Z10,'Name List'!$C$2:$F$98,4,FALSE)</f>
        <v>31</v>
      </c>
      <c r="P10" s="104" t="str">
        <f>VLOOKUP(Z10,'Name List'!$C$2:$F$98,2,FALSE)</f>
        <v>mfPjh</v>
      </c>
      <c r="Q10" s="107">
        <f>VLOOKUP(AA10,'Name List'!$C$18:$F$111,4,FALSE)</f>
        <v>39</v>
      </c>
      <c r="R10" s="104" t="str">
        <f>VLOOKUP(AA10,'Name List'!$C$2:$F$98,2,FALSE)</f>
        <v>muGg; ghi\ (,d;\h)</v>
      </c>
      <c r="S10" s="51" t="s">
        <v>137</v>
      </c>
      <c r="T10" s="73">
        <v>20</v>
      </c>
      <c r="U10" s="73">
        <v>81</v>
      </c>
      <c r="V10" s="73">
        <v>59</v>
      </c>
      <c r="W10" s="73">
        <v>47</v>
      </c>
      <c r="X10" s="73">
        <v>31</v>
      </c>
      <c r="Y10" s="73">
        <v>10</v>
      </c>
      <c r="Z10" s="73">
        <v>39</v>
      </c>
      <c r="AA10" s="73">
        <v>71</v>
      </c>
      <c r="AB10" s="51" t="s">
        <v>137</v>
      </c>
    </row>
    <row r="11" spans="1:28" ht="63.75" customHeight="1">
      <c r="A11" s="110">
        <f>VLOOKUP(T11,'Name List'!$C$2:$F$98,4,FALSE)</f>
        <v>28</v>
      </c>
      <c r="B11" s="75" t="str">
        <f>VLOOKUP(T11,'Name List'!$C$2:$F$98,2,FALSE)</f>
        <v>jg;]Pu;</v>
      </c>
      <c r="C11" s="111">
        <f>VLOOKUP(U11,'Name List'!$C$2:$F$98,4,FALSE)</f>
        <v>38</v>
      </c>
      <c r="D11" s="112" t="str">
        <f>VLOOKUP(U11,'Name List'!$C$2:$F$98,2,FALSE)</f>
        <v>kPfhj;</v>
      </c>
      <c r="E11" s="110">
        <f>VLOOKUP(V11,'Name List'!$C$2:$F$98,4,FALSE)</f>
        <v>31</v>
      </c>
      <c r="F11" s="113" t="str">
        <f>VLOOKUP(V11,'Name List'!$C$2:$F$98,2,FALSE)</f>
        <v>gpuf;</v>
      </c>
      <c r="G11" s="86"/>
      <c r="H11" s="114">
        <f>VLOOKUP(W11,'Name List'!$C$2:$F$98,4,FALSE)</f>
        <v>26</v>
      </c>
      <c r="I11" s="75" t="str">
        <f>VLOOKUP(W11,'Name List'!$C$2:$F$98,2,FALSE)</f>
        <v>,yf;fzk;</v>
      </c>
      <c r="J11" s="110">
        <f>VLOOKUP(X11,'Name List'!$C$2:$F$98,4,FALSE)</f>
        <v>28</v>
      </c>
      <c r="K11" s="113" t="str">
        <f>VLOOKUP(X11,'Name List'!$C$2:$F$98,2,FALSE)</f>
        <v>muGg; ghi\ (,d;\h)</v>
      </c>
      <c r="L11" s="87"/>
      <c r="M11" s="114">
        <f>VLOOKUP(Y11,'Name List'!$C$2:$F$98,4,FALSE)</f>
        <v>41</v>
      </c>
      <c r="N11" s="75" t="str">
        <f>VLOOKUP(Y11,'Name List'!$C$2:$F$98,2,FALSE)</f>
        <v>`jP];</v>
      </c>
      <c r="O11" s="110">
        <f>VLOOKUP(Z11,'Name List'!$C$2:$F$98,4,FALSE)</f>
        <v>41</v>
      </c>
      <c r="P11" s="75" t="str">
        <f>VLOOKUP(Z11,'Name List'!$C$2:$F$98,2,FALSE)</f>
        <v>tuyhW</v>
      </c>
      <c r="Q11" s="110">
        <f>VLOOKUP(AA11,'Name List'!$C$18:$F$111,4,FALSE)</f>
        <v>31</v>
      </c>
      <c r="R11" s="75" t="str">
        <f>VLOOKUP(AA11,'Name List'!$C$2:$F$98,2,FALSE)</f>
        <v>gpf;`;</v>
      </c>
      <c r="S11" s="51" t="s">
        <v>138</v>
      </c>
      <c r="T11" s="79">
        <v>11</v>
      </c>
      <c r="U11" s="79">
        <v>82</v>
      </c>
      <c r="V11" s="79">
        <v>83</v>
      </c>
      <c r="W11" s="79">
        <v>60</v>
      </c>
      <c r="X11" s="79">
        <v>72</v>
      </c>
      <c r="Y11" s="79">
        <v>21</v>
      </c>
      <c r="Z11" s="79">
        <v>48</v>
      </c>
      <c r="AA11" s="79">
        <v>32</v>
      </c>
      <c r="AB11" s="51" t="s">
        <v>138</v>
      </c>
    </row>
    <row r="12" spans="1:28" ht="42.75" customHeight="1">
      <c r="A12" s="25" t="s">
        <v>149</v>
      </c>
      <c r="B12" s="26"/>
      <c r="C12" s="26"/>
      <c r="D12" s="26"/>
      <c r="E12" s="26"/>
      <c r="F12" s="26"/>
      <c r="G12" s="115"/>
      <c r="H12" s="26"/>
      <c r="I12" s="26"/>
      <c r="J12" s="26"/>
      <c r="K12" s="26"/>
      <c r="L12" s="115"/>
      <c r="M12" s="26"/>
      <c r="N12" s="26"/>
      <c r="O12" s="26"/>
      <c r="P12" s="26"/>
      <c r="Q12" s="26"/>
      <c r="R12" s="26"/>
      <c r="S12" s="27" t="s">
        <v>152</v>
      </c>
      <c r="T12" s="28"/>
      <c r="U12" s="28"/>
      <c r="V12" s="28"/>
      <c r="W12" s="29"/>
      <c r="X12" s="29" t="s">
        <v>75</v>
      </c>
      <c r="Y12" s="30"/>
      <c r="Z12" s="29"/>
      <c r="AA12" s="29"/>
      <c r="AB12" s="29"/>
    </row>
    <row r="13" spans="1:28" ht="33" customHeight="1">
      <c r="A13" s="83" t="str">
        <f>A2</f>
        <v>ehshe;j ghlNeu ml;ltid - 2026</v>
      </c>
      <c r="B13" s="84"/>
      <c r="C13" s="84"/>
      <c r="D13" s="84"/>
      <c r="E13" s="84"/>
      <c r="F13" s="84"/>
      <c r="G13" s="84"/>
      <c r="H13" s="84"/>
      <c r="I13" s="84"/>
      <c r="J13" s="84"/>
      <c r="K13" s="84"/>
      <c r="L13" s="84"/>
      <c r="M13" s="84"/>
      <c r="N13" s="84"/>
      <c r="O13" s="84"/>
      <c r="P13" s="84"/>
      <c r="Q13" s="84"/>
      <c r="R13" s="84"/>
      <c r="S13" s="85"/>
      <c r="T13" s="28"/>
      <c r="U13" s="28"/>
      <c r="V13" s="28"/>
      <c r="W13" s="29"/>
      <c r="X13" s="29"/>
      <c r="Y13" s="29"/>
      <c r="Z13" s="29"/>
      <c r="AA13" s="29"/>
      <c r="AB13" s="29"/>
    </row>
    <row r="14" spans="1:28" ht="27" customHeight="1">
      <c r="A14" s="35" t="s">
        <v>147</v>
      </c>
      <c r="B14" s="36"/>
      <c r="C14" s="35" t="s">
        <v>146</v>
      </c>
      <c r="D14" s="36"/>
      <c r="E14" s="35" t="s">
        <v>145</v>
      </c>
      <c r="F14" s="37"/>
      <c r="G14" s="64" t="s">
        <v>160</v>
      </c>
      <c r="H14" s="39" t="s">
        <v>144</v>
      </c>
      <c r="I14" s="39"/>
      <c r="J14" s="35" t="s">
        <v>143</v>
      </c>
      <c r="K14" s="37"/>
      <c r="L14" s="116" t="s">
        <v>156</v>
      </c>
      <c r="M14" s="39" t="s">
        <v>142</v>
      </c>
      <c r="N14" s="39"/>
      <c r="O14" s="35" t="s">
        <v>141</v>
      </c>
      <c r="P14" s="36"/>
      <c r="Q14" s="35" t="s">
        <v>140</v>
      </c>
      <c r="R14" s="36"/>
      <c r="S14" s="40" t="s">
        <v>139</v>
      </c>
      <c r="T14" s="41">
        <v>8</v>
      </c>
      <c r="U14" s="41">
        <v>7</v>
      </c>
      <c r="V14" s="41">
        <v>6</v>
      </c>
      <c r="W14" s="41">
        <v>5</v>
      </c>
      <c r="X14" s="41">
        <v>4</v>
      </c>
      <c r="Y14" s="41">
        <v>3</v>
      </c>
      <c r="Z14" s="41">
        <v>2</v>
      </c>
      <c r="AA14" s="41">
        <v>1</v>
      </c>
      <c r="AB14" s="40" t="s">
        <v>139</v>
      </c>
    </row>
    <row r="15" spans="1:28" ht="21" customHeight="1">
      <c r="A15" s="88" t="s">
        <v>81</v>
      </c>
      <c r="B15" s="88"/>
      <c r="C15" s="89" t="s">
        <v>80</v>
      </c>
      <c r="D15" s="90"/>
      <c r="E15" s="89" t="s">
        <v>79</v>
      </c>
      <c r="F15" s="91"/>
      <c r="G15" s="65"/>
      <c r="H15" s="88" t="s">
        <v>78</v>
      </c>
      <c r="I15" s="88"/>
      <c r="J15" s="89" t="s">
        <v>74</v>
      </c>
      <c r="K15" s="91"/>
      <c r="L15" s="117"/>
      <c r="M15" s="88" t="s">
        <v>77</v>
      </c>
      <c r="N15" s="88"/>
      <c r="O15" s="89" t="s">
        <v>101</v>
      </c>
      <c r="P15" s="90"/>
      <c r="Q15" s="89" t="s">
        <v>76</v>
      </c>
      <c r="R15" s="90"/>
      <c r="S15" s="46"/>
      <c r="T15" s="41"/>
      <c r="U15" s="41"/>
      <c r="V15" s="41"/>
      <c r="W15" s="41"/>
      <c r="X15" s="41"/>
      <c r="Y15" s="41"/>
      <c r="Z15" s="41"/>
      <c r="AA15" s="41"/>
      <c r="AB15" s="46"/>
    </row>
    <row r="16" spans="1:28" ht="60.75" customHeight="1">
      <c r="A16" s="118">
        <f>VLOOKUP(T16,'Name List'!$C$2:$F$98,4,FALSE)</f>
        <v>26</v>
      </c>
      <c r="B16" s="57" t="str">
        <f>VLOOKUP(T16,'Name List'!$C$2:$F$98,2,FALSE)</f>
        <v>]u;g; (2)</v>
      </c>
      <c r="C16" s="119">
        <f>VLOOKUP(U16,'Name List'!$C$2:$F$98,4,FALSE)</f>
        <v>28</v>
      </c>
      <c r="D16" s="120" t="str">
        <f>VLOOKUP(U16,'Name List'!$C$2:$F$98,2,FALSE)</f>
        <v>muG vOj;jzp</v>
      </c>
      <c r="E16" s="119">
        <f>VLOOKUP(V16,'Name List'!$C$2:$F$98,4,FALSE)</f>
        <v>36</v>
      </c>
      <c r="F16" s="120" t="str">
        <f>VLOOKUP(V16,'Name List'!$C$2:$F$98,2,FALSE)</f>
        <v>fypkhJy; Fu;Md;</v>
      </c>
      <c r="G16" s="65"/>
      <c r="H16" s="48">
        <f>VLOOKUP(W16,'Name List'!$C$2:$F$98,4,FALSE)</f>
        <v>36</v>
      </c>
      <c r="I16" s="57" t="str">
        <f>VLOOKUP(W16,'Name List'!$C$2:$F$98,2,FALSE)</f>
        <v>my;Fu;Md; kddk;</v>
      </c>
      <c r="J16" s="50">
        <f>VLOOKUP(X16,'Name List'!$C$2:$F$98,4,FALSE)</f>
        <v>44</v>
      </c>
      <c r="K16" s="49" t="str">
        <f>VLOOKUP(X16,'Name List'!$C$2:$F$98,2,FALSE)</f>
        <v>gpf;`;</v>
      </c>
      <c r="L16" s="117"/>
      <c r="M16" s="48">
        <f>VLOOKUP(Y16,'Name List'!$C$2:$F$98,4,FALSE)</f>
        <v>31</v>
      </c>
      <c r="N16" s="57" t="str">
        <f>VLOOKUP(Y16,'Name List'!$C$2:$F$98,2,FALSE)</f>
        <v>muGg; ghi\ (,d;\h)</v>
      </c>
      <c r="O16" s="50">
        <f>VLOOKUP(Z16,'Name List'!$C$2:$F$98,4,FALSE)</f>
        <v>41</v>
      </c>
      <c r="P16" s="49" t="str">
        <f>VLOOKUP(Z16,'Name List'!$C$2:$F$98,2,FALSE)</f>
        <v>muGg; ghi\( fpuhj;)</v>
      </c>
      <c r="Q16" s="50">
        <f>VLOOKUP(AA16,'Name List'!$C$2:$F$98,4,FALSE)</f>
        <v>26</v>
      </c>
      <c r="R16" s="49" t="str">
        <f>VLOOKUP(AA16,'Name List'!$C$2:$F$98,2,FALSE)</f>
        <v>]u;g; (1)</v>
      </c>
      <c r="S16" s="51" t="s">
        <v>132</v>
      </c>
      <c r="T16" s="56">
        <v>94</v>
      </c>
      <c r="U16" s="56">
        <v>89</v>
      </c>
      <c r="V16" s="56">
        <v>97</v>
      </c>
      <c r="W16" s="56">
        <v>1</v>
      </c>
      <c r="X16" s="56">
        <v>26</v>
      </c>
      <c r="Y16" s="52">
        <v>63</v>
      </c>
      <c r="Z16" s="52">
        <v>64</v>
      </c>
      <c r="AA16" s="52">
        <v>61</v>
      </c>
      <c r="AB16" s="51" t="s">
        <v>132</v>
      </c>
    </row>
    <row r="17" spans="1:28" ht="60.75" customHeight="1">
      <c r="A17" s="119">
        <f>VLOOKUP(T17,'Name List'!$C$2:$F$98,4,FALSE)</f>
        <v>31</v>
      </c>
      <c r="B17" s="92" t="str">
        <f>VLOOKUP(T17,'Name List'!$C$2:$F$98,2,FALSE)</f>
        <v>gpf;`;</v>
      </c>
      <c r="C17" s="121">
        <f>VLOOKUP(U17,'Name List'!$C$2:$F$98,4,FALSE)</f>
        <v>41</v>
      </c>
      <c r="D17" s="49" t="str">
        <f>VLOOKUP(U17,'Name List'!$C$2:$F$98,2,FALSE)</f>
        <v>,yf;fzk;</v>
      </c>
      <c r="E17" s="122">
        <f>VLOOKUP(V17,'Name List'!$C$2:$F$98,4,FALSE)</f>
        <v>46</v>
      </c>
      <c r="F17" s="49" t="str">
        <f>VLOOKUP(V17,'Name List'!$C$2:$F$98,2,FALSE)</f>
        <v>muGg; ghi\ (,d;\h)</v>
      </c>
      <c r="G17" s="65"/>
      <c r="H17" s="50">
        <f>VLOOKUP(W17,'Name List'!$C$2:$F$98,4,FALSE)</f>
        <v>44</v>
      </c>
      <c r="I17" s="49" t="str">
        <f>VLOOKUP(W17,'Name List'!$C$2:$F$98,2,FALSE)</f>
        <v>tuyhW</v>
      </c>
      <c r="J17" s="50">
        <f>VLOOKUP(X17,'Name List'!$C$2:$F$98,4,FALSE)</f>
        <v>28</v>
      </c>
      <c r="K17" s="49" t="str">
        <f>VLOOKUP(X17,'Name List'!$C$2:$F$98,2,FALSE)</f>
        <v>muG vOj;jzp</v>
      </c>
      <c r="L17" s="117"/>
      <c r="M17" s="50">
        <f>VLOOKUP(Y17,'Name List'!$C$2:$F$98,4,FALSE)</f>
        <v>44</v>
      </c>
      <c r="N17" s="49" t="str">
        <f>VLOOKUP(Y17,'Name List'!$C$2:$F$98,2,FALSE)</f>
        <v>`jP];</v>
      </c>
      <c r="O17" s="50">
        <f>VLOOKUP(Z17,'Name List'!$C$2:$F$98,4,FALSE)</f>
        <v>28</v>
      </c>
      <c r="P17" s="49" t="str">
        <f>VLOOKUP(Z17,'Name List'!$C$2:$F$98,2,FALSE)</f>
        <v>]u;g;</v>
      </c>
      <c r="Q17" s="50">
        <f>VLOOKUP(AA17,'Name List'!$C$5:$F$99,4,FALSE)</f>
        <v>44</v>
      </c>
      <c r="R17" s="49" t="str">
        <f>VLOOKUP(AA17,'Name List'!$C$2:$F$98,2,FALSE)</f>
        <v>muGg; ghi\( fpuhj;)</v>
      </c>
      <c r="S17" s="51" t="s">
        <v>133</v>
      </c>
      <c r="T17" s="56">
        <v>27</v>
      </c>
      <c r="U17" s="56">
        <v>55</v>
      </c>
      <c r="V17" s="56">
        <v>65</v>
      </c>
      <c r="W17" s="56">
        <v>43</v>
      </c>
      <c r="X17" s="56">
        <v>90</v>
      </c>
      <c r="Y17" s="56">
        <v>16</v>
      </c>
      <c r="Z17" s="56">
        <v>62</v>
      </c>
      <c r="AA17" s="56">
        <v>66</v>
      </c>
      <c r="AB17" s="51" t="s">
        <v>133</v>
      </c>
    </row>
    <row r="18" spans="1:28" ht="60.75" customHeight="1">
      <c r="A18" s="119">
        <f>VLOOKUP(T18,'Name List'!$C$2:$F$98,4,FALSE)</f>
        <v>36</v>
      </c>
      <c r="B18" s="49" t="str">
        <f>VLOOKUP(T18,'Name List'!$C$2:$F$98,2,FALSE)</f>
        <v>m`;yhf;</v>
      </c>
      <c r="C18" s="121">
        <f>VLOOKUP(U18,'Name List'!$C$2:$F$98,4,FALSE)</f>
        <v>38</v>
      </c>
      <c r="D18" s="49" t="str">
        <f>VLOOKUP(U18,'Name List'!$C$2:$F$98,2,FALSE)</f>
        <v>`jP];</v>
      </c>
      <c r="E18" s="119">
        <f>VLOOKUP(V18,'Name List'!$C$2:$F$98,4,FALSE)</f>
        <v>41</v>
      </c>
      <c r="F18" s="49" t="str">
        <f>VLOOKUP(V18,'Name List'!$C$2:$F$98,2,FALSE)</f>
        <v>ju;[{kJy; Fu;Md;</v>
      </c>
      <c r="G18" s="65"/>
      <c r="H18" s="50">
        <f>VLOOKUP(W18,'Name List'!$C$2:$F$98,4,FALSE)</f>
        <v>28</v>
      </c>
      <c r="I18" s="49" t="str">
        <f>VLOOKUP(W18,'Name List'!$C$2:$F$98,2,FALSE)</f>
        <v>mfPjh</v>
      </c>
      <c r="J18" s="50">
        <f>VLOOKUP(X18,'Name List'!$C$2:$F$98,4,FALSE)</f>
        <v>41</v>
      </c>
      <c r="K18" s="49" t="str">
        <f>VLOOKUP(X18,'Name List'!$C$2:$F$98,2,FALSE)</f>
        <v>cUJg; ghi\</v>
      </c>
      <c r="L18" s="117"/>
      <c r="M18" s="50">
        <f>VLOOKUP(Y18,'Name List'!$C$2:$F$98,4,FALSE)</f>
        <v>38</v>
      </c>
      <c r="N18" s="49" t="str">
        <f>VLOOKUP(Y18,'Name List'!$C$2:$F$98,2,FALSE)</f>
        <v>muGg; ghi\ (,d;\h)</v>
      </c>
      <c r="O18" s="50">
        <f>VLOOKUP(Z18,'Name List'!$C$2:$F$98,4,FALSE)</f>
        <v>26</v>
      </c>
      <c r="P18" s="49" t="str">
        <f>VLOOKUP(Z18,'Name List'!$C$2:$F$98,2,FALSE)</f>
        <v>gpf;`;</v>
      </c>
      <c r="Q18" s="50">
        <f>VLOOKUP(AA18,'Name List'!$C$8:$F$102,4,FALSE)</f>
        <v>41</v>
      </c>
      <c r="R18" s="49" t="str">
        <f>VLOOKUP(AA18,'Name List'!$C$2:$F$98,2,FALSE)</f>
        <v>,yf;fzk;</v>
      </c>
      <c r="S18" s="51" t="s">
        <v>134</v>
      </c>
      <c r="T18" s="56">
        <v>50</v>
      </c>
      <c r="U18" s="56">
        <v>17</v>
      </c>
      <c r="V18" s="56">
        <v>91</v>
      </c>
      <c r="W18" s="56">
        <v>36</v>
      </c>
      <c r="X18" s="56">
        <v>87</v>
      </c>
      <c r="Y18" s="56">
        <v>68</v>
      </c>
      <c r="Z18" s="56">
        <v>28</v>
      </c>
      <c r="AA18" s="56">
        <v>56</v>
      </c>
      <c r="AB18" s="51" t="s">
        <v>134</v>
      </c>
    </row>
    <row r="19" spans="1:28" ht="60.75" customHeight="1">
      <c r="A19" s="118">
        <f>VLOOKUP(T19,'Name List'!$C$2:$F$98,4,FALSE)</f>
        <v>46</v>
      </c>
      <c r="B19" s="57" t="str">
        <f>VLOOKUP(T19,'Name List'!$C$2:$F$98,2,FALSE)</f>
        <v>cUJg; ghi\</v>
      </c>
      <c r="C19" s="123">
        <f>VLOOKUP(U19,'Name List'!$C$2:$F$98,4,FALSE)</f>
        <v>39</v>
      </c>
      <c r="D19" s="49" t="str">
        <f>VLOOKUP(U19,'Name List'!$C$2:$F$98,2,FALSE)</f>
        <v>m`;yhf;</v>
      </c>
      <c r="E19" s="118">
        <f>VLOOKUP(V19,'Name List'!$C$2:$F$98,4,FALSE)</f>
        <v>38</v>
      </c>
      <c r="F19" s="120" t="str">
        <f>VLOOKUP(V19,'Name List'!$C$2:$F$98,2,FALSE)</f>
        <v>mfPjh</v>
      </c>
      <c r="G19" s="65"/>
      <c r="H19" s="48">
        <f>VLOOKUP(W19,'Name List'!$C$2:$F$98,4,FALSE)</f>
        <v>31</v>
      </c>
      <c r="I19" s="49" t="str">
        <f>VLOOKUP(W19,'Name List'!$C$2:$F$98,2,FALSE)</f>
        <v>gpf;`;</v>
      </c>
      <c r="J19" s="48">
        <f>VLOOKUP(X19,'Name List'!$C$2:$F$98,4,FALSE)</f>
        <v>46</v>
      </c>
      <c r="K19" s="49" t="str">
        <f>VLOOKUP(X19,'Name List'!$C$2:$F$98,2,FALSE)</f>
        <v>,yf;fzk;</v>
      </c>
      <c r="L19" s="117"/>
      <c r="M19" s="48">
        <f>VLOOKUP(Y19,'Name List'!$C$2:$F$98,4,FALSE)</f>
        <v>46</v>
      </c>
      <c r="N19" s="57" t="str">
        <f>VLOOKUP(Y19,'Name List'!$C$2:$F$98,2,FALSE)</f>
        <v>muGg; ghi\ (,d;\h)</v>
      </c>
      <c r="O19" s="48">
        <f>VLOOKUP(Z19,'Name List'!$C$2:$F$98,4,FALSE)</f>
        <v>39</v>
      </c>
      <c r="P19" s="57" t="str">
        <f>VLOOKUP(Z19,'Name List'!$C$2:$F$98,2,FALSE)</f>
        <v>jg;]Pu;</v>
      </c>
      <c r="Q19" s="48">
        <f>VLOOKUP(AA19,'Name List'!$C$11:$F$105,4,FALSE)</f>
        <v>46</v>
      </c>
      <c r="R19" s="57" t="str">
        <f>VLOOKUP(AA19,'Name List'!$C$2:$F$98,2,FALSE)</f>
        <v>`jP];</v>
      </c>
      <c r="S19" s="51" t="s">
        <v>135</v>
      </c>
      <c r="T19" s="56">
        <v>88</v>
      </c>
      <c r="U19" s="56">
        <v>51</v>
      </c>
      <c r="V19" s="56">
        <v>37</v>
      </c>
      <c r="W19" s="56">
        <v>29</v>
      </c>
      <c r="X19" s="56">
        <v>57</v>
      </c>
      <c r="Y19" s="56">
        <v>69</v>
      </c>
      <c r="Z19" s="56">
        <v>8</v>
      </c>
      <c r="AA19" s="56">
        <v>18</v>
      </c>
      <c r="AB19" s="51" t="s">
        <v>135</v>
      </c>
    </row>
    <row r="20" spans="1:28" ht="60.75" customHeight="1">
      <c r="A20" s="124">
        <f>VLOOKUP(T20,'Name List'!$C$2:$F$98,4,FALSE)</f>
        <v>39</v>
      </c>
      <c r="B20" s="98" t="str">
        <f>VLOOKUP(T20,'Name List'!$C$2:$F$98,2,FALSE)</f>
        <v>muGg; ghi\ (,d;\h)</v>
      </c>
      <c r="C20" s="125">
        <f>VLOOKUP(U20,'Name List'!$C$2:$F$98,4,FALSE)</f>
        <v>36</v>
      </c>
      <c r="D20" s="49" t="str">
        <f>VLOOKUP(U20,'Name List'!$C$2:$F$98,2,FALSE)</f>
        <v>m`;yhf;</v>
      </c>
      <c r="E20" s="124">
        <f>VLOOKUP(V20,'Name List'!$C$2:$F$98,4,FALSE)</f>
        <v>28</v>
      </c>
      <c r="F20" s="49" t="str">
        <f>VLOOKUP(V20,'Name List'!$C$2:$F$98,2,FALSE)</f>
        <v>gpf;`;</v>
      </c>
      <c r="G20" s="65"/>
      <c r="H20" s="50">
        <f>VLOOKUP(W20,'Name List'!$C$2:$F$98,4,FALSE)</f>
        <v>38</v>
      </c>
      <c r="I20" s="49" t="str">
        <f>VLOOKUP(W20,'Name List'!$C$2:$F$98,2,FALSE)</f>
        <v>ghfg; gpuptpid</v>
      </c>
      <c r="J20" s="50">
        <f>VLOOKUP(X20,'Name List'!$C$2:$F$98,4,FALSE)</f>
        <v>39</v>
      </c>
      <c r="K20" s="49" t="str">
        <f>VLOOKUP(X20,'Name List'!$C$2:$F$98,2,FALSE)</f>
        <v>muGg; ghi\ (,d;\h)</v>
      </c>
      <c r="L20" s="117"/>
      <c r="M20" s="50">
        <f>VLOOKUP(Y20,'Name List'!$C$2:$F$98,4,FALSE)</f>
        <v>26</v>
      </c>
      <c r="N20" s="49" t="str">
        <f>VLOOKUP(Y20,'Name List'!$C$2:$F$98,2,FALSE)</f>
        <v>,yf;fzk;</v>
      </c>
      <c r="O20" s="50">
        <f>VLOOKUP(Z20,'Name List'!$C$2:$F$98,4,FALSE)</f>
        <v>36</v>
      </c>
      <c r="P20" s="49" t="str">
        <f>VLOOKUP(Z20,'Name List'!$C$2:$F$98,2,FALSE)</f>
        <v>`jP];</v>
      </c>
      <c r="Q20" s="50">
        <f>VLOOKUP(AA20,'Name List'!$C$15:$F$108,4,FALSE)</f>
        <v>28</v>
      </c>
      <c r="R20" s="49" t="str">
        <f>VLOOKUP(AA20,'Name List'!$C$2:$F$98,2,FALSE)</f>
        <v>jg;]Pu;</v>
      </c>
      <c r="S20" s="51" t="s">
        <v>136</v>
      </c>
      <c r="T20" s="56">
        <v>70</v>
      </c>
      <c r="U20" s="56">
        <v>52</v>
      </c>
      <c r="V20" s="56">
        <v>30</v>
      </c>
      <c r="W20" s="56">
        <v>41</v>
      </c>
      <c r="X20" s="56">
        <v>70</v>
      </c>
      <c r="Y20" s="56">
        <v>58</v>
      </c>
      <c r="Z20" s="56">
        <v>19</v>
      </c>
      <c r="AA20" s="56">
        <v>9</v>
      </c>
      <c r="AB20" s="51" t="s">
        <v>136</v>
      </c>
    </row>
    <row r="21" spans="1:28" ht="60.75" customHeight="1">
      <c r="A21" s="124">
        <f>VLOOKUP(T21,'Name List'!$C$2:$F$98,4,FALSE)</f>
        <v>41</v>
      </c>
      <c r="B21" s="98" t="str">
        <f>VLOOKUP(T21,'Name List'!$C$2:$F$98,2,FALSE)</f>
        <v>`jP];</v>
      </c>
      <c r="C21" s="125">
        <f>VLOOKUP(U21,'Name List'!$C$2:$F$98,4,FALSE)</f>
        <v>31</v>
      </c>
      <c r="D21" s="49" t="str">
        <f>VLOOKUP(U21,'Name List'!$C$2:$F$98,2,FALSE)</f>
        <v>m`;yhf;</v>
      </c>
      <c r="E21" s="124">
        <f>VLOOKUP(V21,'Name List'!$C$2:$F$98,4,FALSE)</f>
        <v>26</v>
      </c>
      <c r="F21" s="49" t="str">
        <f>VLOOKUP(V21,'Name List'!$C$2:$F$98,2,FALSE)</f>
        <v>,yf;fzk;</v>
      </c>
      <c r="G21" s="65"/>
      <c r="H21" s="50">
        <f>VLOOKUP(W21,'Name List'!$C$2:$F$98,4,FALSE)</f>
        <v>39</v>
      </c>
      <c r="I21" s="49" t="str">
        <f>VLOOKUP(W21,'Name List'!$C$2:$F$98,2,FALSE)</f>
        <v>my;Fu;Md; kddk;</v>
      </c>
      <c r="J21" s="50">
        <f>VLOOKUP(X21,'Name List'!$C$2:$F$98,4,FALSE)</f>
        <v>26</v>
      </c>
      <c r="K21" s="49" t="str">
        <f>VLOOKUP(X21,'Name List'!$C$2:$F$98,2,FALSE)</f>
        <v>gpf;`;</v>
      </c>
      <c r="L21" s="117"/>
      <c r="M21" s="50">
        <f>VLOOKUP(Y21,'Name List'!$C$2:$F$98,4,FALSE)</f>
        <v>36</v>
      </c>
      <c r="N21" s="49" t="str">
        <f>VLOOKUP(Y21,'Name List'!$C$2:$F$98,2,FALSE)</f>
        <v>jg;]Pu;</v>
      </c>
      <c r="O21" s="50">
        <f>VLOOKUP(Z21,'Name List'!$C$2:$F$98,4,FALSE)</f>
        <v>31</v>
      </c>
      <c r="P21" s="49" t="str">
        <f>VLOOKUP(Z21,'Name List'!$C$2:$F$98,2,FALSE)</f>
        <v>mfPjh</v>
      </c>
      <c r="Q21" s="50">
        <f>VLOOKUP(AA21,'Name List'!$C$15:$F$108,4,FALSE)</f>
        <v>39</v>
      </c>
      <c r="R21" s="49" t="str">
        <f>VLOOKUP(AA21,'Name List'!$C$2:$F$98,2,FALSE)</f>
        <v>muGg; ghi\ (,d;\h)</v>
      </c>
      <c r="S21" s="51" t="s">
        <v>137</v>
      </c>
      <c r="T21" s="56">
        <v>20</v>
      </c>
      <c r="U21" s="56">
        <v>53</v>
      </c>
      <c r="V21" s="56">
        <v>59</v>
      </c>
      <c r="W21" s="56">
        <v>6</v>
      </c>
      <c r="X21" s="56">
        <v>31</v>
      </c>
      <c r="Y21" s="73">
        <v>10</v>
      </c>
      <c r="Z21" s="73">
        <v>39</v>
      </c>
      <c r="AA21" s="73">
        <v>71</v>
      </c>
      <c r="AB21" s="51" t="s">
        <v>137</v>
      </c>
    </row>
    <row r="22" spans="1:28" ht="60.75" customHeight="1">
      <c r="A22" s="126">
        <f>VLOOKUP(T22,'Name List'!$C$2:$F$98,4,FALSE)</f>
        <v>28</v>
      </c>
      <c r="B22" s="127" t="str">
        <f>VLOOKUP(T22,'Name List'!$C$2:$F$98,2,FALSE)</f>
        <v>jg;]Pu;</v>
      </c>
      <c r="C22" s="128">
        <f>VLOOKUP(U22,'Name List'!$C$2:$F$98,4,FALSE)</f>
        <v>38</v>
      </c>
      <c r="D22" s="129" t="str">
        <f>VLOOKUP(U22,'Name List'!$C$2:$F$98,2,FALSE)</f>
        <v>kPfhj;</v>
      </c>
      <c r="E22" s="130">
        <f>VLOOKUP(V22,'Name List'!$C$2:$F$98,4,FALSE)</f>
        <v>31</v>
      </c>
      <c r="F22" s="131" t="str">
        <f>VLOOKUP(V22,'Name List'!$C$2:$F$98,2,FALSE)</f>
        <v>kd;jpf;</v>
      </c>
      <c r="G22" s="77"/>
      <c r="H22" s="59">
        <f>VLOOKUP(W22,'Name List'!$C$2:$F$98,4,FALSE)</f>
        <v>26</v>
      </c>
      <c r="I22" s="60" t="str">
        <f>VLOOKUP(W22,'Name List'!$C$2:$F$98,2,FALSE)</f>
        <v>,yf;fzk;</v>
      </c>
      <c r="J22" s="59">
        <f>VLOOKUP(X22,'Name List'!$C$2:$F$98,4,FALSE)</f>
        <v>28</v>
      </c>
      <c r="K22" s="60" t="str">
        <f>VLOOKUP(X22,'Name List'!$C$2:$F$98,2,FALSE)</f>
        <v>muGg; ghi\ (,d;\h)</v>
      </c>
      <c r="L22" s="132"/>
      <c r="M22" s="59">
        <f>VLOOKUP(Y22,'Name List'!$C$2:$F$98,4,FALSE)</f>
        <v>41</v>
      </c>
      <c r="N22" s="60" t="str">
        <f>VLOOKUP(Y22,'Name List'!$C$2:$F$98,2,FALSE)</f>
        <v>`jP];</v>
      </c>
      <c r="O22" s="59">
        <f>VLOOKUP(Z22,'Name List'!$C$2:$F$98,4,FALSE)</f>
        <v>41</v>
      </c>
      <c r="P22" s="60" t="str">
        <f>VLOOKUP(Z22,'Name List'!$C$2:$F$98,2,FALSE)</f>
        <v>m`;yhf;</v>
      </c>
      <c r="Q22" s="59">
        <f>VLOOKUP(AA22,'Name List'!$C$18:$F$111,4,FALSE)</f>
        <v>31</v>
      </c>
      <c r="R22" s="60" t="str">
        <f>VLOOKUP(AA22,'Name List'!$C$2:$F$98,2,FALSE)</f>
        <v>gpf;`;</v>
      </c>
      <c r="S22" s="51" t="s">
        <v>138</v>
      </c>
      <c r="T22" s="56">
        <v>11</v>
      </c>
      <c r="U22" s="56">
        <v>82</v>
      </c>
      <c r="V22" s="56">
        <v>80</v>
      </c>
      <c r="W22" s="56">
        <v>60</v>
      </c>
      <c r="X22" s="56">
        <v>72</v>
      </c>
      <c r="Y22" s="79">
        <v>21</v>
      </c>
      <c r="Z22" s="79">
        <v>54</v>
      </c>
      <c r="AA22" s="79">
        <v>32</v>
      </c>
      <c r="AB22" s="51" t="s">
        <v>138</v>
      </c>
    </row>
    <row r="23" spans="1:28" ht="42.75" customHeight="1">
      <c r="A23" s="25" t="s">
        <v>149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7" t="s">
        <v>153</v>
      </c>
      <c r="T23" s="28"/>
      <c r="U23" s="28"/>
      <c r="V23" s="28"/>
      <c r="W23" s="29"/>
      <c r="X23" s="29"/>
      <c r="Y23" s="30"/>
      <c r="Z23" s="29"/>
      <c r="AA23" s="29"/>
      <c r="AB23" s="29"/>
    </row>
    <row r="24" spans="1:28" ht="33" customHeight="1">
      <c r="A24" s="83" t="str">
        <f>A13</f>
        <v>ehshe;j ghlNeu ml;ltid - 2026</v>
      </c>
      <c r="B24" s="84"/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5"/>
      <c r="T24" s="28"/>
      <c r="U24" s="28"/>
      <c r="V24" s="28"/>
      <c r="W24" s="29"/>
      <c r="X24" s="29"/>
      <c r="Y24" s="29"/>
      <c r="Z24" s="29"/>
      <c r="AA24" s="29"/>
      <c r="AB24" s="29"/>
    </row>
    <row r="25" spans="1:28" ht="27" customHeight="1">
      <c r="A25" s="39" t="s">
        <v>147</v>
      </c>
      <c r="B25" s="39"/>
      <c r="C25" s="39" t="s">
        <v>146</v>
      </c>
      <c r="D25" s="39"/>
      <c r="E25" s="39" t="s">
        <v>145</v>
      </c>
      <c r="F25" s="39"/>
      <c r="G25" s="64" t="s">
        <v>160</v>
      </c>
      <c r="H25" s="39" t="s">
        <v>144</v>
      </c>
      <c r="I25" s="39"/>
      <c r="J25" s="39" t="s">
        <v>143</v>
      </c>
      <c r="K25" s="39"/>
      <c r="L25" s="116" t="s">
        <v>156</v>
      </c>
      <c r="M25" s="39" t="s">
        <v>142</v>
      </c>
      <c r="N25" s="39"/>
      <c r="O25" s="35" t="s">
        <v>141</v>
      </c>
      <c r="P25" s="36"/>
      <c r="Q25" s="35" t="s">
        <v>140</v>
      </c>
      <c r="R25" s="36"/>
      <c r="S25" s="40" t="s">
        <v>139</v>
      </c>
      <c r="T25" s="41">
        <v>8</v>
      </c>
      <c r="U25" s="41">
        <v>7</v>
      </c>
      <c r="V25" s="41">
        <v>6</v>
      </c>
      <c r="W25" s="41">
        <v>5</v>
      </c>
      <c r="X25" s="41">
        <v>4</v>
      </c>
      <c r="Y25" s="41">
        <v>3</v>
      </c>
      <c r="Z25" s="41">
        <v>2</v>
      </c>
      <c r="AA25" s="41">
        <v>1</v>
      </c>
      <c r="AB25" s="40" t="s">
        <v>139</v>
      </c>
    </row>
    <row r="26" spans="1:28" ht="21" customHeight="1">
      <c r="A26" s="88" t="s">
        <v>81</v>
      </c>
      <c r="B26" s="88"/>
      <c r="C26" s="88" t="s">
        <v>80</v>
      </c>
      <c r="D26" s="88"/>
      <c r="E26" s="88" t="s">
        <v>79</v>
      </c>
      <c r="F26" s="88"/>
      <c r="G26" s="65"/>
      <c r="H26" s="88" t="s">
        <v>78</v>
      </c>
      <c r="I26" s="88"/>
      <c r="J26" s="88" t="s">
        <v>74</v>
      </c>
      <c r="K26" s="88"/>
      <c r="L26" s="117"/>
      <c r="M26" s="88" t="s">
        <v>77</v>
      </c>
      <c r="N26" s="88"/>
      <c r="O26" s="89" t="s">
        <v>101</v>
      </c>
      <c r="P26" s="90"/>
      <c r="Q26" s="89" t="s">
        <v>76</v>
      </c>
      <c r="R26" s="90"/>
      <c r="S26" s="46"/>
      <c r="T26" s="41"/>
      <c r="U26" s="41"/>
      <c r="V26" s="41"/>
      <c r="W26" s="41"/>
      <c r="X26" s="41"/>
      <c r="Y26" s="41"/>
      <c r="Z26" s="41"/>
      <c r="AA26" s="41"/>
      <c r="AB26" s="46"/>
    </row>
    <row r="27" spans="1:28" ht="62.25" customHeight="1">
      <c r="A27" s="48">
        <f>VLOOKUP(T27,'Name List'!$C$2:$F$98,4,FALSE)</f>
        <v>26</v>
      </c>
      <c r="B27" s="57" t="str">
        <f>VLOOKUP(T27,'Name List'!$C$2:$F$98,2,FALSE)</f>
        <v>]u;g; (2)</v>
      </c>
      <c r="C27" s="48">
        <f>VLOOKUP(U27,'Name List'!$C$2:$F$98,4,FALSE)</f>
        <v>28</v>
      </c>
      <c r="D27" s="57" t="str">
        <f>VLOOKUP(U27,'Name List'!$C$2:$F$98,2,FALSE)</f>
        <v>fp]]{d; egpa;aPd;</v>
      </c>
      <c r="E27" s="48">
        <f>VLOOKUP(V27,'Name List'!$C$2:$F$98,4,FALSE)</f>
        <v>36</v>
      </c>
      <c r="F27" s="57" t="str">
        <f>VLOOKUP(V27,'Name List'!$C$2:$F$98,2,FALSE)</f>
        <v>fypkhJy; Fu;Md;</v>
      </c>
      <c r="G27" s="65"/>
      <c r="H27" s="48">
        <f>VLOOKUP(W27,'Name List'!$C$2:$F$98,4,FALSE)</f>
        <v>39</v>
      </c>
      <c r="I27" s="57" t="str">
        <f>VLOOKUP(W27,'Name List'!$C$2:$F$98,2,FALSE)</f>
        <v>,yf;fzk;</v>
      </c>
      <c r="J27" s="48">
        <f>VLOOKUP(X27,'Name List'!$C$2:$F$98,4,FALSE)</f>
        <v>28</v>
      </c>
      <c r="K27" s="57" t="str">
        <f>VLOOKUP(X27,'Name List'!$C$2:$F$98,2,FALSE)</f>
        <v>fp]]{d; egpa;aPd;</v>
      </c>
      <c r="L27" s="117"/>
      <c r="M27" s="48">
        <f>VLOOKUP(Y27,'Name List'!$C$2:$F$98,4,FALSE)</f>
        <v>31</v>
      </c>
      <c r="N27" s="57" t="str">
        <f>VLOOKUP(Y27,'Name List'!$C$2:$F$98,2,FALSE)</f>
        <v>muGg; ghi\ (,d;\h)</v>
      </c>
      <c r="O27" s="50">
        <f>VLOOKUP(Z27,'Name List'!$C$2:$F$98,4,FALSE)</f>
        <v>41</v>
      </c>
      <c r="P27" s="49" t="str">
        <f>VLOOKUP(Z27,'Name List'!$C$2:$F$98,2,FALSE)</f>
        <v>muGg; ghi\( fpuhj;)</v>
      </c>
      <c r="Q27" s="50">
        <f>VLOOKUP(AA27,'Name List'!$C$2:$F$98,4,FALSE)</f>
        <v>26</v>
      </c>
      <c r="R27" s="49" t="str">
        <f>VLOOKUP(AA27,'Name List'!$C$2:$F$98,2,FALSE)</f>
        <v>]u;g; (1)</v>
      </c>
      <c r="S27" s="51" t="s">
        <v>132</v>
      </c>
      <c r="T27" s="52">
        <v>94</v>
      </c>
      <c r="U27" s="52">
        <v>95</v>
      </c>
      <c r="V27" s="52">
        <v>97</v>
      </c>
      <c r="W27" s="52">
        <v>96</v>
      </c>
      <c r="X27" s="52">
        <v>95</v>
      </c>
      <c r="Y27" s="52">
        <v>63</v>
      </c>
      <c r="Z27" s="52">
        <v>64</v>
      </c>
      <c r="AA27" s="52">
        <v>61</v>
      </c>
      <c r="AB27" s="51" t="s">
        <v>132</v>
      </c>
    </row>
    <row r="28" spans="1:28" ht="62.25" customHeight="1">
      <c r="A28" s="50">
        <f>VLOOKUP(T28,'Name List'!$C$2:$F$98,4,FALSE)</f>
        <v>31</v>
      </c>
      <c r="B28" s="92" t="str">
        <f>VLOOKUP(T28,'Name List'!$C$2:$F$98,2,FALSE)</f>
        <v>gpf;`;</v>
      </c>
      <c r="C28" s="54">
        <f>VLOOKUP(U28,'Name List'!$C$2:$F$98,4,FALSE)</f>
        <v>41</v>
      </c>
      <c r="D28" s="93" t="str">
        <f>VLOOKUP(U28,'Name List'!$C$2:$F$98,2,FALSE)</f>
        <v>,yf;fzk;</v>
      </c>
      <c r="E28" s="55">
        <f>VLOOKUP(V28,'Name List'!$C$2:$F$98,4,FALSE)</f>
        <v>46</v>
      </c>
      <c r="F28" s="49" t="str">
        <f>VLOOKUP(V28,'Name List'!$C$2:$F$98,2,FALSE)</f>
        <v>muGg; ghi\ (,d;\h)</v>
      </c>
      <c r="G28" s="65"/>
      <c r="H28" s="50">
        <f>VLOOKUP(W28,'Name List'!$C$2:$F$98,4,FALSE)</f>
        <v>44</v>
      </c>
      <c r="I28" s="49" t="str">
        <f>VLOOKUP(W28,'Name List'!$C$2:$F$98,2,FALSE)</f>
        <v>tuyhW</v>
      </c>
      <c r="J28" s="50">
        <f>VLOOKUP(X28,'Name List'!$C$2:$F$98,4,FALSE)</f>
        <v>36</v>
      </c>
      <c r="K28" s="49" t="str">
        <f>VLOOKUP(X28,'Name List'!$C$2:$F$98,2,FALSE)</f>
        <v>ju;[{kJy; Fu;Md;</v>
      </c>
      <c r="L28" s="117"/>
      <c r="M28" s="50">
        <f>VLOOKUP(Y28,'Name List'!$C$2:$F$98,4,FALSE)</f>
        <v>44</v>
      </c>
      <c r="N28" s="49" t="str">
        <f>VLOOKUP(Y28,'Name List'!$C$2:$F$98,2,FALSE)</f>
        <v>`jP];</v>
      </c>
      <c r="O28" s="50">
        <f>VLOOKUP(Z28,'Name List'!$C$2:$F$98,4,FALSE)</f>
        <v>28</v>
      </c>
      <c r="P28" s="49" t="str">
        <f>VLOOKUP(Z28,'Name List'!$C$2:$F$98,2,FALSE)</f>
        <v>]u;g;</v>
      </c>
      <c r="Q28" s="50">
        <f>VLOOKUP(AA28,'Name List'!$C$5:$F$99,4,FALSE)</f>
        <v>44</v>
      </c>
      <c r="R28" s="49" t="str">
        <f>VLOOKUP(AA28,'Name List'!$C$2:$F$98,2,FALSE)</f>
        <v>muGg; ghi\( fpuhj;)</v>
      </c>
      <c r="S28" s="51" t="s">
        <v>133</v>
      </c>
      <c r="T28" s="56">
        <v>27</v>
      </c>
      <c r="U28" s="56">
        <v>55</v>
      </c>
      <c r="V28" s="56">
        <v>65</v>
      </c>
      <c r="W28" s="56">
        <v>43</v>
      </c>
      <c r="X28" s="56">
        <v>49</v>
      </c>
      <c r="Y28" s="56">
        <v>16</v>
      </c>
      <c r="Z28" s="56">
        <v>62</v>
      </c>
      <c r="AA28" s="56">
        <v>66</v>
      </c>
      <c r="AB28" s="51" t="s">
        <v>133</v>
      </c>
    </row>
    <row r="29" spans="1:28" ht="62.25" customHeight="1">
      <c r="A29" s="50">
        <f>VLOOKUP(T29,'Name List'!$C$2:$F$98,4,FALSE)</f>
        <v>36</v>
      </c>
      <c r="B29" s="49" t="str">
        <f>VLOOKUP(T29,'Name List'!$C$2:$F$98,2,FALSE)</f>
        <v>m`;yhf;</v>
      </c>
      <c r="C29" s="54">
        <f>VLOOKUP(U29,'Name List'!$C$2:$F$98,4,FALSE)</f>
        <v>38</v>
      </c>
      <c r="D29" s="93" t="str">
        <f>VLOOKUP(U29,'Name List'!$C$2:$F$98,2,FALSE)</f>
        <v>`jP];</v>
      </c>
      <c r="E29" s="50">
        <f>VLOOKUP(V29,'Name List'!$C$2:$F$98,4,FALSE)</f>
        <v>41</v>
      </c>
      <c r="F29" s="49" t="str">
        <f>VLOOKUP(V29,'Name List'!$C$2:$F$98,2,FALSE)</f>
        <v>ju;[{kJy; Fu;Md;</v>
      </c>
      <c r="G29" s="65"/>
      <c r="H29" s="50">
        <f>VLOOKUP(W29,'Name List'!$C$2:$F$98,4,FALSE)</f>
        <v>28</v>
      </c>
      <c r="I29" s="49" t="str">
        <f>VLOOKUP(W29,'Name List'!$C$2:$F$98,2,FALSE)</f>
        <v>tuyhW</v>
      </c>
      <c r="J29" s="50">
        <f>VLOOKUP(X29,'Name List'!$C$2:$F$98,4,FALSE)</f>
        <v>41</v>
      </c>
      <c r="K29" s="49" t="str">
        <f>VLOOKUP(X29,'Name List'!$C$2:$F$98,2,FALSE)</f>
        <v>cUJg; ghi\</v>
      </c>
      <c r="L29" s="117"/>
      <c r="M29" s="50">
        <f>VLOOKUP(Y29,'Name List'!$C$2:$F$98,4,FALSE)</f>
        <v>38</v>
      </c>
      <c r="N29" s="49" t="str">
        <f>VLOOKUP(Y29,'Name List'!$C$2:$F$98,2,FALSE)</f>
        <v>muGg; ghi\ (,d;\h)</v>
      </c>
      <c r="O29" s="50">
        <f>VLOOKUP(Z29,'Name List'!$C$2:$F$98,4,FALSE)</f>
        <v>26</v>
      </c>
      <c r="P29" s="49" t="str">
        <f>VLOOKUP(Z29,'Name List'!$C$2:$F$98,2,FALSE)</f>
        <v>gpf;`;</v>
      </c>
      <c r="Q29" s="50">
        <f>VLOOKUP(AA29,'Name List'!$C$8:$F$102,4,FALSE)</f>
        <v>41</v>
      </c>
      <c r="R29" s="49" t="str">
        <f>VLOOKUP(AA29,'Name List'!$C$2:$F$98,2,FALSE)</f>
        <v>,yf;fzk;</v>
      </c>
      <c r="S29" s="51" t="s">
        <v>134</v>
      </c>
      <c r="T29" s="56">
        <v>50</v>
      </c>
      <c r="U29" s="56">
        <v>17</v>
      </c>
      <c r="V29" s="56">
        <v>91</v>
      </c>
      <c r="W29" s="56">
        <v>44</v>
      </c>
      <c r="X29" s="56">
        <v>87</v>
      </c>
      <c r="Y29" s="56">
        <v>68</v>
      </c>
      <c r="Z29" s="56">
        <v>28</v>
      </c>
      <c r="AA29" s="56">
        <v>56</v>
      </c>
      <c r="AB29" s="51" t="s">
        <v>134</v>
      </c>
    </row>
    <row r="30" spans="1:28" ht="62.25" customHeight="1">
      <c r="A30" s="48">
        <f>VLOOKUP(T30,'Name List'!$C$2:$F$98,4,FALSE)</f>
        <v>46</v>
      </c>
      <c r="B30" s="57" t="str">
        <f>VLOOKUP(T30,'Name List'!$C$2:$F$98,2,FALSE)</f>
        <v>cUJg; ghi\</v>
      </c>
      <c r="C30" s="58">
        <f>VLOOKUP(U30,'Name List'!$C$2:$F$98,4,FALSE)</f>
        <v>39</v>
      </c>
      <c r="D30" s="94" t="str">
        <f>VLOOKUP(U30,'Name List'!$C$2:$F$98,2,FALSE)</f>
        <v>m`;yhf;</v>
      </c>
      <c r="E30" s="48">
        <f>VLOOKUP(V30,'Name List'!$C$2:$F$98,4,FALSE)</f>
        <v>39</v>
      </c>
      <c r="F30" s="57" t="str">
        <f>VLOOKUP(V30,'Name List'!$C$2:$F$98,2,FALSE)</f>
        <v>my;Fu;Md; kddk;</v>
      </c>
      <c r="G30" s="65"/>
      <c r="H30" s="48">
        <f>VLOOKUP(W30,'Name List'!$C$2:$F$98,4,FALSE)</f>
        <v>31</v>
      </c>
      <c r="I30" s="57" t="str">
        <f>VLOOKUP(W30,'Name List'!$C$2:$F$98,2,FALSE)</f>
        <v>gpf;`;</v>
      </c>
      <c r="J30" s="48">
        <f>VLOOKUP(X30,'Name List'!$C$2:$F$98,4,FALSE)</f>
        <v>46</v>
      </c>
      <c r="K30" s="57" t="str">
        <f>VLOOKUP(X30,'Name List'!$C$2:$F$98,2,FALSE)</f>
        <v>,yf;fzk;</v>
      </c>
      <c r="L30" s="117"/>
      <c r="M30" s="48">
        <f>VLOOKUP(Y30,'Name List'!$C$2:$F$98,4,FALSE)</f>
        <v>46</v>
      </c>
      <c r="N30" s="57" t="str">
        <f>VLOOKUP(Y30,'Name List'!$C$2:$F$98,2,FALSE)</f>
        <v>muGg; ghi\ (,d;\h)</v>
      </c>
      <c r="O30" s="48">
        <f>VLOOKUP(Z30,'Name List'!$C$2:$F$98,4,FALSE)</f>
        <v>39</v>
      </c>
      <c r="P30" s="49" t="str">
        <f>VLOOKUP(Z30,'Name List'!$C$2:$F$98,2,FALSE)</f>
        <v>jg;]Pu;</v>
      </c>
      <c r="Q30" s="48">
        <f>VLOOKUP(AA30,'Name List'!$C$11:$F$105,4,FALSE)</f>
        <v>46</v>
      </c>
      <c r="R30" s="57" t="str">
        <f>VLOOKUP(AA30,'Name List'!$C$2:$F$98,2,FALSE)</f>
        <v>`jP];</v>
      </c>
      <c r="S30" s="51" t="s">
        <v>135</v>
      </c>
      <c r="T30" s="56">
        <v>88</v>
      </c>
      <c r="U30" s="56">
        <v>51</v>
      </c>
      <c r="V30" s="56">
        <v>4</v>
      </c>
      <c r="W30" s="56">
        <v>29</v>
      </c>
      <c r="X30" s="56">
        <v>57</v>
      </c>
      <c r="Y30" s="56">
        <v>69</v>
      </c>
      <c r="Z30" s="56">
        <v>8</v>
      </c>
      <c r="AA30" s="56">
        <v>18</v>
      </c>
      <c r="AB30" s="51" t="s">
        <v>135</v>
      </c>
    </row>
    <row r="31" spans="1:28" ht="62.25" customHeight="1">
      <c r="A31" s="50">
        <f>VLOOKUP(T31,'Name List'!$C$2:$F$98,4,FALSE)</f>
        <v>39</v>
      </c>
      <c r="B31" s="49" t="str">
        <f>VLOOKUP(T31,'Name List'!$C$2:$F$98,2,FALSE)</f>
        <v>nrhw;Nfhu;g;Gf; fiy</v>
      </c>
      <c r="C31" s="54">
        <f>VLOOKUP(U31,'Name List'!$C$2:$F$98,4,FALSE)</f>
        <v>36</v>
      </c>
      <c r="D31" s="93" t="str">
        <f>VLOOKUP(U31,'Name List'!$C$2:$F$98,2,FALSE)</f>
        <v>m`;yhf;</v>
      </c>
      <c r="E31" s="50">
        <f>VLOOKUP(V31,'Name List'!$C$2:$F$98,4,FALSE)</f>
        <v>28</v>
      </c>
      <c r="F31" s="49" t="str">
        <f>VLOOKUP(V31,'Name List'!$C$2:$F$98,2,FALSE)</f>
        <v>gpf;`;</v>
      </c>
      <c r="G31" s="65"/>
      <c r="H31" s="50">
        <f>VLOOKUP(W31,'Name List'!$C$2:$F$98,4,FALSE)</f>
        <v>46</v>
      </c>
      <c r="I31" s="49" t="str">
        <f>VLOOKUP(W31,'Name List'!$C$2:$F$98,2,FALSE)</f>
        <v>,yf;fpak;</v>
      </c>
      <c r="J31" s="50">
        <f>VLOOKUP(X31,'Name List'!$C$2:$F$98,4,FALSE)</f>
        <v>39</v>
      </c>
      <c r="K31" s="49" t="str">
        <f>VLOOKUP(X31,'Name List'!$C$2:$F$98,2,FALSE)</f>
        <v>muGg; ghi\ (,d;\h)</v>
      </c>
      <c r="L31" s="117"/>
      <c r="M31" s="50">
        <f>VLOOKUP(Y31,'Name List'!$C$2:$F$98,4,FALSE)</f>
        <v>26</v>
      </c>
      <c r="N31" s="49" t="str">
        <f>VLOOKUP(Y31,'Name List'!$C$2:$F$98,2,FALSE)</f>
        <v>,yf;fzk;</v>
      </c>
      <c r="O31" s="50">
        <f>VLOOKUP(Z31,'Name List'!$C$2:$F$98,4,FALSE)</f>
        <v>36</v>
      </c>
      <c r="P31" s="49" t="str">
        <f>VLOOKUP(Z31,'Name List'!$C$2:$F$98,2,FALSE)</f>
        <v>`jP];</v>
      </c>
      <c r="Q31" s="50">
        <f>VLOOKUP(AA31,'Name List'!$C$15:$F$108,4,FALSE)</f>
        <v>28</v>
      </c>
      <c r="R31" s="49" t="str">
        <f>VLOOKUP(AA31,'Name List'!$C$2:$F$98,2,FALSE)</f>
        <v>jg;]Pu;</v>
      </c>
      <c r="S31" s="51" t="s">
        <v>136</v>
      </c>
      <c r="T31" s="56">
        <v>76</v>
      </c>
      <c r="U31" s="56">
        <v>52</v>
      </c>
      <c r="V31" s="56">
        <v>30</v>
      </c>
      <c r="W31" s="56">
        <v>73</v>
      </c>
      <c r="X31" s="56">
        <v>70</v>
      </c>
      <c r="Y31" s="56">
        <v>58</v>
      </c>
      <c r="Z31" s="56">
        <v>19</v>
      </c>
      <c r="AA31" s="56">
        <v>9</v>
      </c>
      <c r="AB31" s="51" t="s">
        <v>136</v>
      </c>
    </row>
    <row r="32" spans="1:28" ht="62.25" customHeight="1">
      <c r="A32" s="50">
        <f>VLOOKUP(T32,'Name List'!$C$2:$F$98,4,FALSE)</f>
        <v>38</v>
      </c>
      <c r="B32" s="49" t="str">
        <f>VLOOKUP(T32,'Name List'!$C$2:$F$98,2,FALSE)</f>
        <v>ghfg; gpuptpid</v>
      </c>
      <c r="C32" s="54">
        <f>VLOOKUP(U32,'Name List'!$C$2:$F$98,4,FALSE)</f>
        <v>31</v>
      </c>
      <c r="D32" s="93" t="str">
        <f>VLOOKUP(U32,'Name List'!$C$2:$F$98,2,FALSE)</f>
        <v>m`;yhf;</v>
      </c>
      <c r="E32" s="50">
        <f>VLOOKUP(V32,'Name List'!$C$2:$F$98,4,FALSE)</f>
        <v>26</v>
      </c>
      <c r="F32" s="49" t="str">
        <f>VLOOKUP(V32,'Name List'!$C$2:$F$98,2,FALSE)</f>
        <v>,yf;fzk;</v>
      </c>
      <c r="G32" s="65"/>
      <c r="H32" s="50">
        <f>VLOOKUP(W32,'Name List'!$C$2:$F$98,4,FALSE)</f>
        <v>41</v>
      </c>
      <c r="I32" s="49" t="str">
        <f>VLOOKUP(W32,'Name List'!$C$2:$F$98,2,FALSE)</f>
        <v>`jP];</v>
      </c>
      <c r="J32" s="50">
        <f>VLOOKUP(X32,'Name List'!$C$2:$F$98,4,FALSE)</f>
        <v>26</v>
      </c>
      <c r="K32" s="49" t="str">
        <f>VLOOKUP(X32,'Name List'!$C$2:$F$98,2,FALSE)</f>
        <v>gpf;`;</v>
      </c>
      <c r="L32" s="117"/>
      <c r="M32" s="50">
        <f>VLOOKUP(Y32,'Name List'!$C$2:$F$98,4,FALSE)</f>
        <v>36</v>
      </c>
      <c r="N32" s="49" t="str">
        <f>VLOOKUP(Y32,'Name List'!$C$2:$F$98,2,FALSE)</f>
        <v>jg;]Pu;</v>
      </c>
      <c r="O32" s="50">
        <f>VLOOKUP(Z32,'Name List'!$C$2:$F$98,4,FALSE)</f>
        <v>31</v>
      </c>
      <c r="P32" s="49" t="str">
        <f>VLOOKUP(Z32,'Name List'!$C$2:$F$98,2,FALSE)</f>
        <v>,yf;fpak;</v>
      </c>
      <c r="Q32" s="50">
        <f>VLOOKUP(AA32,'Name List'!$C$15:$F$108,4,FALSE)</f>
        <v>39</v>
      </c>
      <c r="R32" s="49" t="str">
        <f>VLOOKUP(AA32,'Name List'!$C$2:$F$98,2,FALSE)</f>
        <v>nrhw;Nfhu;g;Gf; fiy</v>
      </c>
      <c r="S32" s="51" t="s">
        <v>137</v>
      </c>
      <c r="T32" s="56">
        <v>42</v>
      </c>
      <c r="U32" s="56">
        <v>53</v>
      </c>
      <c r="V32" s="56">
        <v>59</v>
      </c>
      <c r="W32" s="56">
        <v>20</v>
      </c>
      <c r="X32" s="56">
        <v>31</v>
      </c>
      <c r="Y32" s="73">
        <v>10</v>
      </c>
      <c r="Z32" s="73">
        <v>74</v>
      </c>
      <c r="AA32" s="73">
        <v>77</v>
      </c>
      <c r="AB32" s="51" t="s">
        <v>137</v>
      </c>
    </row>
    <row r="33" spans="1:28" ht="62.25" customHeight="1">
      <c r="A33" s="59">
        <f>VLOOKUP(T33,'Name List'!$C$2:$F$98,4,FALSE)</f>
        <v>28</v>
      </c>
      <c r="B33" s="60" t="str">
        <f>VLOOKUP(T33,'Name List'!$C$2:$F$98,2,FALSE)</f>
        <v>jg;]Pu;</v>
      </c>
      <c r="C33" s="61">
        <f>VLOOKUP(U33,'Name List'!$C$2:$F$98,4,FALSE)</f>
        <v>31</v>
      </c>
      <c r="D33" s="133" t="str">
        <f>VLOOKUP(U33,'Name List'!$C$2:$F$98,2,FALSE)</f>
        <v>,yf;fpak;</v>
      </c>
      <c r="E33" s="59">
        <f>VLOOKUP(V33,'Name List'!$C$2:$F$98,4,FALSE)</f>
        <v>31</v>
      </c>
      <c r="F33" s="60" t="str">
        <f>VLOOKUP(V33,'Name List'!$C$2:$F$98,2,FALSE)</f>
        <v>mfPjh</v>
      </c>
      <c r="G33" s="77"/>
      <c r="H33" s="59">
        <f>VLOOKUP(W33,'Name List'!$C$2:$F$98,4,FALSE)</f>
        <v>26</v>
      </c>
      <c r="I33" s="60" t="str">
        <f>VLOOKUP(W33,'Name List'!$C$2:$F$98,2,FALSE)</f>
        <v>,yf;fzk;</v>
      </c>
      <c r="J33" s="59">
        <f>VLOOKUP(X33,'Name List'!$C$2:$F$98,4,FALSE)</f>
        <v>28</v>
      </c>
      <c r="K33" s="60" t="str">
        <f>VLOOKUP(X33,'Name List'!$C$2:$F$98,2,FALSE)</f>
        <v>nrhw;Nfhu;g;Gf; fiy</v>
      </c>
      <c r="L33" s="132"/>
      <c r="M33" s="59">
        <f>VLOOKUP(Y33,'Name List'!$C$2:$F$98,4,FALSE)</f>
        <v>41</v>
      </c>
      <c r="N33" s="60" t="str">
        <f>VLOOKUP(Y33,'Name List'!$C$2:$F$98,2,FALSE)</f>
        <v>`jP];</v>
      </c>
      <c r="O33" s="59">
        <f>VLOOKUP(Z33,'Name List'!$C$2:$F$98,4,FALSE)</f>
        <v>41</v>
      </c>
      <c r="P33" s="60" t="str">
        <f>VLOOKUP(Z33,'Name List'!$C$2:$F$98,2,FALSE)</f>
        <v>m`;yhf;</v>
      </c>
      <c r="Q33" s="59">
        <f>VLOOKUP(AA33,'Name List'!$C$18:$F$111,4,FALSE)</f>
        <v>31</v>
      </c>
      <c r="R33" s="60" t="str">
        <f>VLOOKUP(AA33,'Name List'!$C$2:$F$98,2,FALSE)</f>
        <v>gpf;`;</v>
      </c>
      <c r="S33" s="51" t="s">
        <v>138</v>
      </c>
      <c r="T33" s="56">
        <v>11</v>
      </c>
      <c r="U33" s="56">
        <v>75</v>
      </c>
      <c r="V33" s="56">
        <v>40</v>
      </c>
      <c r="W33" s="56">
        <v>60</v>
      </c>
      <c r="X33" s="56">
        <v>78</v>
      </c>
      <c r="Y33" s="79">
        <v>21</v>
      </c>
      <c r="Z33" s="79">
        <v>54</v>
      </c>
      <c r="AA33" s="79">
        <v>32</v>
      </c>
      <c r="AB33" s="51" t="s">
        <v>138</v>
      </c>
    </row>
    <row r="34" spans="1:28" ht="70.5" customHeight="1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28" ht="42.75" customHeight="1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28" ht="31.5" customHeight="1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28" ht="24.75" customHeight="1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28" ht="31.5" customHeight="1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28" ht="22.5" customHeight="1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28" ht="31.5" customHeight="1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28" ht="26.25" customHeight="1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28" ht="31.5" customHeight="1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28" ht="26.25" customHeight="1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28" ht="31.5" customHeight="1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28" ht="26.25" customHeight="1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28" ht="31.5" customHeight="1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28" ht="24.75" customHeight="1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28" ht="27.75" customHeight="1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</row>
    <row r="49" customFormat="1" ht="41.25" customHeight="1"/>
    <row r="50" customFormat="1" ht="33" customHeight="1"/>
    <row r="51" customFormat="1" ht="45" customHeight="1"/>
    <row r="52" customFormat="1" ht="42.75" customHeight="1"/>
    <row r="53" customFormat="1" ht="31.5" customHeight="1"/>
    <row r="54" customFormat="1" ht="24.75" customHeight="1"/>
    <row r="55" customFormat="1" ht="31.5" customHeight="1"/>
    <row r="56" customFormat="1" ht="22.5" customHeight="1"/>
    <row r="57" customFormat="1" ht="31.5" customHeight="1"/>
    <row r="58" customFormat="1" ht="26.25" customHeight="1"/>
    <row r="59" customFormat="1" ht="31.5" customHeight="1"/>
    <row r="60" customFormat="1" ht="26.25" customHeight="1"/>
    <row r="61" customFormat="1" ht="31.5" customHeight="1"/>
    <row r="62" customFormat="1" ht="26.25" customHeight="1"/>
    <row r="63" customFormat="1" ht="31.5" customHeight="1"/>
    <row r="64" customFormat="1" ht="24.75" customHeight="1"/>
    <row r="65" customFormat="1" ht="30" customHeight="1"/>
    <row r="66" customFormat="1" ht="41.25" customHeight="1"/>
    <row r="67" customFormat="1" ht="33" customHeight="1"/>
    <row r="68" customFormat="1" ht="45" customHeight="1"/>
    <row r="69" customFormat="1" ht="42.75" customHeight="1"/>
    <row r="70" customFormat="1" ht="31.5" customHeight="1"/>
    <row r="71" customFormat="1" ht="24.75" customHeight="1"/>
    <row r="72" customFormat="1" ht="31.5" customHeight="1"/>
    <row r="73" customFormat="1" ht="22.5" customHeight="1"/>
    <row r="74" customFormat="1" ht="31.5" customHeight="1"/>
    <row r="75" customFormat="1" ht="26.25" customHeight="1"/>
    <row r="76" customFormat="1" ht="31.5" customHeight="1"/>
    <row r="77" customFormat="1" ht="26.25" customHeight="1"/>
    <row r="78" customFormat="1" ht="31.5" customHeight="1"/>
    <row r="79" customFormat="1" ht="26.25" customHeight="1"/>
    <row r="80" customFormat="1" ht="31.5" customHeight="1"/>
    <row r="81" spans="1:19" ht="24.75" customHeight="1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</row>
    <row r="82" spans="1:19" ht="29.25" customHeight="1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</row>
    <row r="83" spans="1:19" ht="41.25" customHeight="1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</row>
    <row r="84" spans="1:19" ht="33" customHeight="1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</row>
    <row r="85" spans="1:19" ht="45" customHeight="1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</row>
    <row r="86" spans="1:19" ht="42.75" customHeight="1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</row>
    <row r="87" spans="1:19" ht="31.5" customHeight="1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</row>
    <row r="88" spans="1:19" ht="24.75" customHeight="1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</row>
    <row r="89" spans="1:19" ht="31.5" customHeight="1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</row>
    <row r="90" spans="1:19" ht="22.5" customHeigh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</row>
    <row r="91" spans="1:19" ht="31.5" customHeight="1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</row>
    <row r="92" spans="1:19" ht="26.25" customHeight="1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</row>
    <row r="93" spans="1:19" ht="31.5" customHeight="1"/>
    <row r="94" spans="1:19" ht="26.25" customHeight="1"/>
    <row r="95" spans="1:19" ht="31.5" customHeight="1"/>
    <row r="96" spans="1:19" ht="26.25" customHeight="1"/>
    <row r="97" ht="31.5" customHeight="1"/>
    <row r="98" ht="24.75" customHeight="1"/>
    <row r="99" ht="32.25" customHeight="1"/>
  </sheetData>
  <mergeCells count="66">
    <mergeCell ref="A12:R12"/>
    <mergeCell ref="A23:R23"/>
    <mergeCell ref="M25:N25"/>
    <mergeCell ref="O25:P25"/>
    <mergeCell ref="Q25:R25"/>
    <mergeCell ref="J15:K15"/>
    <mergeCell ref="M15:N15"/>
    <mergeCell ref="O15:P15"/>
    <mergeCell ref="Q15:R15"/>
    <mergeCell ref="A24:S24"/>
    <mergeCell ref="E15:F15"/>
    <mergeCell ref="H15:I15"/>
    <mergeCell ref="A13:S13"/>
    <mergeCell ref="A14:B14"/>
    <mergeCell ref="C14:D14"/>
    <mergeCell ref="E14:F14"/>
    <mergeCell ref="J25:K25"/>
    <mergeCell ref="L25:L33"/>
    <mergeCell ref="A26:B26"/>
    <mergeCell ref="C26:D26"/>
    <mergeCell ref="E26:F26"/>
    <mergeCell ref="H26:I26"/>
    <mergeCell ref="J26:K26"/>
    <mergeCell ref="A25:B25"/>
    <mergeCell ref="C25:D25"/>
    <mergeCell ref="E25:F25"/>
    <mergeCell ref="G25:G33"/>
    <mergeCell ref="H25:I25"/>
    <mergeCell ref="M26:N26"/>
    <mergeCell ref="O26:P26"/>
    <mergeCell ref="Q26:R26"/>
    <mergeCell ref="O14:P14"/>
    <mergeCell ref="Q14:R14"/>
    <mergeCell ref="A15:B15"/>
    <mergeCell ref="C15:D15"/>
    <mergeCell ref="A2:S2"/>
    <mergeCell ref="A3:B3"/>
    <mergeCell ref="C3:D3"/>
    <mergeCell ref="E3:F3"/>
    <mergeCell ref="H3:I3"/>
    <mergeCell ref="J3:K3"/>
    <mergeCell ref="M3:N3"/>
    <mergeCell ref="O3:P3"/>
    <mergeCell ref="Q3:R3"/>
    <mergeCell ref="G14:G22"/>
    <mergeCell ref="H14:I14"/>
    <mergeCell ref="J14:K14"/>
    <mergeCell ref="L14:L22"/>
    <mergeCell ref="M14:N14"/>
    <mergeCell ref="A1:R1"/>
    <mergeCell ref="O4:P4"/>
    <mergeCell ref="Q4:R4"/>
    <mergeCell ref="A4:B4"/>
    <mergeCell ref="C4:D4"/>
    <mergeCell ref="E4:F4"/>
    <mergeCell ref="H4:I4"/>
    <mergeCell ref="J4:K4"/>
    <mergeCell ref="M4:N4"/>
    <mergeCell ref="G3:G11"/>
    <mergeCell ref="L3:L11"/>
    <mergeCell ref="AB3:AB4"/>
    <mergeCell ref="AB14:AB15"/>
    <mergeCell ref="AB25:AB26"/>
    <mergeCell ref="S14:S15"/>
    <mergeCell ref="S25:S26"/>
    <mergeCell ref="S3:S4"/>
  </mergeCells>
  <conditionalFormatting sqref="S2:S3 S5:S11">
    <cfRule type="cellIs" dxfId="8" priority="8" operator="equal">
      <formula>41</formula>
    </cfRule>
  </conditionalFormatting>
  <conditionalFormatting sqref="S13:S14 S16:S22">
    <cfRule type="cellIs" dxfId="7" priority="2" operator="equal">
      <formula>41</formula>
    </cfRule>
  </conditionalFormatting>
  <conditionalFormatting sqref="S24:S25 S27:S33">
    <cfRule type="cellIs" dxfId="6" priority="1" operator="equal">
      <formula>41</formula>
    </cfRule>
  </conditionalFormatting>
  <conditionalFormatting sqref="AB3 AB5:AB11">
    <cfRule type="cellIs" dxfId="5" priority="5" operator="equal">
      <formula>41</formula>
    </cfRule>
  </conditionalFormatting>
  <conditionalFormatting sqref="AB14 AB16:AB22">
    <cfRule type="cellIs" dxfId="4" priority="4" operator="equal">
      <formula>41</formula>
    </cfRule>
  </conditionalFormatting>
  <conditionalFormatting sqref="AB25 AB27:AB33">
    <cfRule type="cellIs" dxfId="3" priority="3" operator="equal">
      <formula>41</formula>
    </cfRule>
  </conditionalFormatting>
  <pageMargins left="0.26785714285714302" right="0.223214285714286" top="0.3" bottom="0.29411764705882398" header="0.3" footer="0.3"/>
  <pageSetup paperSize="9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AM97"/>
  <sheetViews>
    <sheetView rightToLeft="1" view="pageLayout" zoomScale="55" zoomScaleNormal="100" zoomScalePageLayoutView="55" workbookViewId="0">
      <selection activeCell="AY5" sqref="AY5"/>
    </sheetView>
  </sheetViews>
  <sheetFormatPr defaultColWidth="9.109375" defaultRowHeight="13.8"/>
  <cols>
    <col min="1" max="1" width="2.88671875" style="63" customWidth="1"/>
    <col min="2" max="2" width="11.44140625" style="63" customWidth="1"/>
    <col min="3" max="3" width="2.6640625" style="63" customWidth="1"/>
    <col min="4" max="4" width="11.44140625" style="63" customWidth="1"/>
    <col min="5" max="5" width="2.6640625" style="63" customWidth="1"/>
    <col min="6" max="6" width="11.44140625" style="63" customWidth="1"/>
    <col min="7" max="8" width="5.109375" style="63" customWidth="1"/>
    <col min="9" max="9" width="2.6640625" style="63" customWidth="1"/>
    <col min="10" max="10" width="11.44140625" style="63" customWidth="1"/>
    <col min="11" max="11" width="2.6640625" style="63" customWidth="1"/>
    <col min="12" max="12" width="11.44140625" style="63" customWidth="1"/>
    <col min="13" max="13" width="3.88671875" style="63" hidden="1" customWidth="1"/>
    <col min="14" max="14" width="2.6640625" style="63" customWidth="1"/>
    <col min="15" max="15" width="11.44140625" style="63" customWidth="1"/>
    <col min="16" max="16" width="2.6640625" style="63" customWidth="1"/>
    <col min="17" max="17" width="11.44140625" style="63" customWidth="1"/>
    <col min="18" max="18" width="2.6640625" style="63" customWidth="1"/>
    <col min="19" max="19" width="11.44140625" style="63" customWidth="1"/>
    <col min="20" max="20" width="17.109375" style="63" customWidth="1"/>
    <col min="21" max="23" width="4.33203125" style="28" hidden="1" customWidth="1"/>
    <col min="24" max="28" width="5" style="28" hidden="1" customWidth="1"/>
    <col min="29" max="29" width="12.109375" style="28" hidden="1" customWidth="1"/>
    <col min="30" max="30" width="0" style="28" hidden="1" customWidth="1"/>
    <col min="31" max="38" width="4.5546875" style="28" hidden="1" customWidth="1"/>
    <col min="39" max="39" width="13.109375" style="28" hidden="1" customWidth="1"/>
    <col min="40" max="40" width="0" style="28" hidden="1" customWidth="1"/>
    <col min="41" max="16384" width="9.109375" style="28"/>
  </cols>
  <sheetData>
    <row r="1" spans="1:39" s="28" customFormat="1" ht="42.75" customHeight="1">
      <c r="A1" s="134" t="s">
        <v>149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6" t="s">
        <v>155</v>
      </c>
      <c r="X1" s="29"/>
      <c r="Y1" s="29"/>
      <c r="AA1" s="29"/>
      <c r="AB1" s="29"/>
      <c r="AC1" s="29"/>
      <c r="AE1" s="28" t="s">
        <v>75</v>
      </c>
    </row>
    <row r="2" spans="1:39" s="28" customFormat="1" ht="33" customHeight="1">
      <c r="A2" s="137" t="str">
        <f>'Sun,Tue,Wed'!A24:S24</f>
        <v>ehshe;j ghlNeu ml;ltid - 2026</v>
      </c>
      <c r="B2" s="138"/>
      <c r="C2" s="139"/>
      <c r="D2" s="139"/>
      <c r="E2" s="138"/>
      <c r="F2" s="138"/>
      <c r="G2" s="139"/>
      <c r="H2" s="139"/>
      <c r="I2" s="138"/>
      <c r="J2" s="138"/>
      <c r="K2" s="138"/>
      <c r="L2" s="138"/>
      <c r="M2" s="139"/>
      <c r="N2" s="139"/>
      <c r="O2" s="139"/>
      <c r="P2" s="139"/>
      <c r="Q2" s="139"/>
      <c r="R2" s="139"/>
      <c r="S2" s="139"/>
      <c r="T2" s="140"/>
      <c r="X2" s="29"/>
      <c r="Y2" s="29"/>
      <c r="Z2" s="29"/>
      <c r="AA2" s="29"/>
      <c r="AB2" s="29"/>
      <c r="AC2" s="29"/>
    </row>
    <row r="3" spans="1:39" s="28" customFormat="1" ht="27" customHeight="1">
      <c r="A3" s="141" t="s">
        <v>147</v>
      </c>
      <c r="B3" s="142"/>
      <c r="C3" s="141" t="s">
        <v>146</v>
      </c>
      <c r="D3" s="142"/>
      <c r="E3" s="143" t="s">
        <v>145</v>
      </c>
      <c r="F3" s="143"/>
      <c r="G3" s="64" t="s">
        <v>161</v>
      </c>
      <c r="H3" s="38" t="s">
        <v>162</v>
      </c>
      <c r="I3" s="143" t="s">
        <v>144</v>
      </c>
      <c r="J3" s="143"/>
      <c r="K3" s="143" t="s">
        <v>143</v>
      </c>
      <c r="L3" s="143"/>
      <c r="M3" s="38" t="s">
        <v>86</v>
      </c>
      <c r="N3" s="144" t="s">
        <v>142</v>
      </c>
      <c r="O3" s="142"/>
      <c r="P3" s="141" t="s">
        <v>141</v>
      </c>
      <c r="Q3" s="142"/>
      <c r="R3" s="141" t="s">
        <v>140</v>
      </c>
      <c r="S3" s="142"/>
      <c r="T3" s="145" t="s">
        <v>139</v>
      </c>
      <c r="U3" s="146">
        <v>8</v>
      </c>
      <c r="V3" s="146">
        <v>7</v>
      </c>
      <c r="W3" s="146">
        <v>6</v>
      </c>
      <c r="X3" s="146">
        <v>5</v>
      </c>
      <c r="Y3" s="146">
        <v>4</v>
      </c>
      <c r="Z3" s="146">
        <v>3</v>
      </c>
      <c r="AA3" s="146">
        <v>2</v>
      </c>
      <c r="AB3" s="146">
        <v>1</v>
      </c>
      <c r="AC3" s="146" t="s">
        <v>0</v>
      </c>
      <c r="AE3" s="146">
        <v>8</v>
      </c>
      <c r="AF3" s="146">
        <v>7</v>
      </c>
      <c r="AG3" s="146">
        <v>6</v>
      </c>
      <c r="AH3" s="146">
        <v>5</v>
      </c>
      <c r="AI3" s="146">
        <v>4</v>
      </c>
      <c r="AJ3" s="146">
        <v>3</v>
      </c>
      <c r="AK3" s="146">
        <v>2</v>
      </c>
      <c r="AL3" s="146">
        <v>1</v>
      </c>
      <c r="AM3" s="146" t="s">
        <v>0</v>
      </c>
    </row>
    <row r="4" spans="1:39" s="28" customFormat="1" ht="21" customHeight="1">
      <c r="A4" s="143" t="s">
        <v>81</v>
      </c>
      <c r="B4" s="143"/>
      <c r="C4" s="147" t="s">
        <v>80</v>
      </c>
      <c r="D4" s="148"/>
      <c r="E4" s="147" t="s">
        <v>79</v>
      </c>
      <c r="F4" s="148"/>
      <c r="G4" s="65"/>
      <c r="H4" s="45"/>
      <c r="I4" s="149" t="s">
        <v>93</v>
      </c>
      <c r="J4" s="150"/>
      <c r="K4" s="149" t="s">
        <v>92</v>
      </c>
      <c r="L4" s="150"/>
      <c r="M4" s="45"/>
      <c r="N4" s="149" t="s">
        <v>91</v>
      </c>
      <c r="O4" s="150"/>
      <c r="P4" s="149" t="s">
        <v>90</v>
      </c>
      <c r="Q4" s="150"/>
      <c r="R4" s="149" t="s">
        <v>89</v>
      </c>
      <c r="S4" s="150"/>
      <c r="T4" s="151"/>
      <c r="U4" s="146"/>
      <c r="V4" s="146"/>
      <c r="W4" s="146"/>
      <c r="X4" s="146"/>
      <c r="Y4" s="146"/>
      <c r="Z4" s="146"/>
      <c r="AA4" s="146"/>
      <c r="AB4" s="146"/>
      <c r="AC4" s="152" t="s">
        <v>1</v>
      </c>
      <c r="AE4" s="146"/>
      <c r="AF4" s="146"/>
      <c r="AG4" s="146"/>
      <c r="AH4" s="146"/>
      <c r="AI4" s="146"/>
      <c r="AJ4" s="146"/>
      <c r="AK4" s="146"/>
      <c r="AL4" s="146"/>
      <c r="AM4" s="152" t="s">
        <v>1</v>
      </c>
    </row>
    <row r="5" spans="1:39" s="28" customFormat="1" ht="60" customHeight="1">
      <c r="A5" s="66">
        <f>VLOOKUP(U5,'Name List'!$C$2:$F$98,4,FALSE)</f>
        <v>26</v>
      </c>
      <c r="B5" s="153" t="str">
        <f>VLOOKUP(U5,'Name List'!$C$2:$F$98,2,FALSE)</f>
        <v>]u;g; (2)</v>
      </c>
      <c r="C5" s="67">
        <f>VLOOKUP(V5,'Name List'!$C$2:$F$98,4,FALSE)</f>
        <v>28</v>
      </c>
      <c r="D5" s="153" t="str">
        <f>VLOOKUP(V5,'Name List'!$C$2:$F$98,2,FALSE)</f>
        <v>muG vOj;jzp</v>
      </c>
      <c r="E5" s="67">
        <f>VLOOKUP(W5,'Name List'!$C$2:$F$98,4,FALSE)</f>
        <v>36</v>
      </c>
      <c r="F5" s="153" t="str">
        <f>VLOOKUP(W5,'Name List'!$C$2:$F$98,2,FALSE)</f>
        <v>j[;tPj;</v>
      </c>
      <c r="G5" s="65"/>
      <c r="H5" s="45"/>
      <c r="I5" s="68">
        <f>VLOOKUP(X5,'Name List'!$C$2:$F$98,4,FALSE)</f>
        <v>39</v>
      </c>
      <c r="J5" s="153" t="str">
        <f>VLOOKUP(X5,'Name List'!$C$2:$F$98,2,FALSE)</f>
        <v>,yf;fzk;</v>
      </c>
      <c r="K5" s="68">
        <f>VLOOKUP(Y5,'Name List'!$C$2:$F$98,4,FALSE)</f>
        <v>44</v>
      </c>
      <c r="L5" s="153" t="str">
        <f>VLOOKUP(Y5,'Name List'!$C$2:$F$98,2,FALSE)</f>
        <v>gpf;`;</v>
      </c>
      <c r="M5" s="45"/>
      <c r="N5" s="68">
        <f>VLOOKUP(Z5,'Name List'!$C$2:$F$98,4,FALSE)</f>
        <v>31</v>
      </c>
      <c r="O5" s="153" t="str">
        <f>VLOOKUP(Z5,'Name List'!$C$2:$F$98,2,FALSE)</f>
        <v>muGg; ghi\ (,d;\h)</v>
      </c>
      <c r="P5" s="68">
        <f>VLOOKUP(AA5,'Name List'!$C$2:$F$98,4,FALSE)</f>
        <v>41</v>
      </c>
      <c r="Q5" s="153" t="str">
        <f>VLOOKUP(AA5,'Name List'!$C$2:$F$98,2,FALSE)</f>
        <v>muGg; ghi\( fpuhj;)</v>
      </c>
      <c r="R5" s="68">
        <f>VLOOKUP(AB5,'Name List'!$C$2:$F$98,4,FALSE)</f>
        <v>26</v>
      </c>
      <c r="S5" s="153" t="str">
        <f>VLOOKUP(AB5,'Name List'!$C$2:$F$98,2,FALSE)</f>
        <v>]u;g; (1)</v>
      </c>
      <c r="T5" s="154" t="s">
        <v>132</v>
      </c>
      <c r="U5" s="155">
        <v>94</v>
      </c>
      <c r="V5" s="155">
        <v>89</v>
      </c>
      <c r="W5" s="155">
        <v>84</v>
      </c>
      <c r="X5" s="155">
        <v>96</v>
      </c>
      <c r="Y5" s="155">
        <v>26</v>
      </c>
      <c r="Z5" s="155">
        <v>63</v>
      </c>
      <c r="AA5" s="155">
        <v>64</v>
      </c>
      <c r="AB5" s="155">
        <v>61</v>
      </c>
      <c r="AC5" s="156" t="s">
        <v>2</v>
      </c>
      <c r="AE5" s="155">
        <v>1</v>
      </c>
      <c r="AF5" s="155">
        <v>89</v>
      </c>
      <c r="AG5" s="155">
        <v>95</v>
      </c>
      <c r="AH5" s="155">
        <v>26</v>
      </c>
      <c r="AI5" s="155">
        <v>61</v>
      </c>
      <c r="AJ5" s="155">
        <v>63</v>
      </c>
      <c r="AK5" s="155">
        <v>64</v>
      </c>
      <c r="AL5" s="155">
        <v>61</v>
      </c>
      <c r="AM5" s="156" t="s">
        <v>2</v>
      </c>
    </row>
    <row r="6" spans="1:39" s="28" customFormat="1" ht="60" customHeight="1">
      <c r="A6" s="67">
        <f>VLOOKUP(U6,'Name List'!$C$2:$F$98,4,FALSE)</f>
        <v>31</v>
      </c>
      <c r="B6" s="153" t="str">
        <f>VLOOKUP(U6,'Name List'!$C$2:$F$98,2,FALSE)</f>
        <v>gpf;`;</v>
      </c>
      <c r="C6" s="69">
        <f>VLOOKUP(V6,'Name List'!$C$2:$F$98,4,FALSE)</f>
        <v>41</v>
      </c>
      <c r="D6" s="153" t="str">
        <f>VLOOKUP(V6,'Name List'!$C$2:$F$98,2,FALSE)</f>
        <v>,yf;fzk;</v>
      </c>
      <c r="E6" s="70">
        <f>VLOOKUP(W6,'Name List'!$C$2:$F$98,4,FALSE)</f>
        <v>46</v>
      </c>
      <c r="F6" s="153" t="str">
        <f>VLOOKUP(W6,'Name List'!$C$2:$F$98,2,FALSE)</f>
        <v>muGg; ghi\ (,d;\h)</v>
      </c>
      <c r="G6" s="65"/>
      <c r="H6" s="45"/>
      <c r="I6" s="68">
        <f>VLOOKUP(X6,'Name List'!$C$2:$F$98,4,FALSE)</f>
        <v>44</v>
      </c>
      <c r="J6" s="153" t="str">
        <f>VLOOKUP(X6,'Name List'!$C$2:$F$98,2,FALSE)</f>
        <v>j[;tPj;</v>
      </c>
      <c r="K6" s="68">
        <f>VLOOKUP(Y6,'Name List'!$C$2:$F$98,4,FALSE)</f>
        <v>28</v>
      </c>
      <c r="L6" s="153" t="str">
        <f>VLOOKUP(Y6,'Name List'!$C$2:$F$98,2,FALSE)</f>
        <v>muG vOj;jzp</v>
      </c>
      <c r="M6" s="45"/>
      <c r="N6" s="68">
        <f>VLOOKUP(Z6,'Name List'!$C$2:$F$98,4,FALSE)</f>
        <v>44</v>
      </c>
      <c r="O6" s="153" t="str">
        <f>VLOOKUP(Z6,'Name List'!$C$2:$F$98,2,FALSE)</f>
        <v>`jP];</v>
      </c>
      <c r="P6" s="68">
        <f>VLOOKUP(AA6,'Name List'!$C$2:$F$98,4,FALSE)</f>
        <v>28</v>
      </c>
      <c r="Q6" s="153" t="str">
        <f>VLOOKUP(AA6,'Name List'!$C$2:$F$98,2,FALSE)</f>
        <v>]u;g;</v>
      </c>
      <c r="R6" s="68">
        <f>VLOOKUP(AB6,'Name List'!$C$5:$F$99,4,FALSE)</f>
        <v>44</v>
      </c>
      <c r="S6" s="153" t="str">
        <f>VLOOKUP(AB6,'Name List'!$C$2:$F$98,2,FALSE)</f>
        <v>muGg; ghi\( fpuhj;)</v>
      </c>
      <c r="T6" s="154" t="s">
        <v>133</v>
      </c>
      <c r="U6" s="157">
        <v>27</v>
      </c>
      <c r="V6" s="157">
        <v>55</v>
      </c>
      <c r="W6" s="157">
        <v>65</v>
      </c>
      <c r="X6" s="157">
        <v>85</v>
      </c>
      <c r="Y6" s="157">
        <v>90</v>
      </c>
      <c r="Z6" s="157">
        <v>16</v>
      </c>
      <c r="AA6" s="157">
        <v>62</v>
      </c>
      <c r="AB6" s="157">
        <v>66</v>
      </c>
      <c r="AC6" s="156"/>
      <c r="AE6" s="157">
        <v>43</v>
      </c>
      <c r="AF6" s="157">
        <v>16</v>
      </c>
      <c r="AG6" s="157">
        <v>66</v>
      </c>
      <c r="AH6" s="157">
        <v>27</v>
      </c>
      <c r="AI6" s="157">
        <v>49</v>
      </c>
      <c r="AJ6" s="157">
        <v>62</v>
      </c>
      <c r="AK6" s="157">
        <v>65</v>
      </c>
      <c r="AL6" s="157">
        <v>55</v>
      </c>
      <c r="AM6" s="156"/>
    </row>
    <row r="7" spans="1:39" s="28" customFormat="1" ht="60" customHeight="1">
      <c r="A7" s="67">
        <f>VLOOKUP(U7,'Name List'!$C$2:$F$98,4,FALSE)</f>
        <v>39</v>
      </c>
      <c r="B7" s="153" t="str">
        <f>VLOOKUP(U7,'Name List'!$C$2:$F$98,2,FALSE)</f>
        <v>j[;tPj;</v>
      </c>
      <c r="C7" s="69">
        <f>VLOOKUP(V7,'Name List'!$C$2:$F$98,4,FALSE)</f>
        <v>38</v>
      </c>
      <c r="D7" s="153" t="str">
        <f>VLOOKUP(V7,'Name List'!$C$2:$F$98,2,FALSE)</f>
        <v>`jP];</v>
      </c>
      <c r="E7" s="67">
        <f>VLOOKUP(W7,'Name List'!$C$2:$F$98,4,FALSE)</f>
        <v>41</v>
      </c>
      <c r="F7" s="153" t="str">
        <f>VLOOKUP(W7,'Name List'!$C$2:$F$98,2,FALSE)</f>
        <v>my;Fu;Md; kddk;</v>
      </c>
      <c r="G7" s="65"/>
      <c r="H7" s="45"/>
      <c r="I7" s="68">
        <f>VLOOKUP(X7,'Name List'!$C$2:$F$98,4,FALSE)</f>
        <v>28</v>
      </c>
      <c r="J7" s="153" t="str">
        <f>VLOOKUP(X7,'Name List'!$C$2:$F$98,2,FALSE)</f>
        <v>mfPjh</v>
      </c>
      <c r="K7" s="68">
        <f>VLOOKUP(Y7,'Name List'!$C$2:$F$98,4,FALSE)</f>
        <v>41</v>
      </c>
      <c r="L7" s="153" t="str">
        <f>VLOOKUP(Y7,'Name List'!$C$2:$F$98,2,FALSE)</f>
        <v>cUJg; ghi\</v>
      </c>
      <c r="M7" s="45"/>
      <c r="N7" s="68">
        <f>VLOOKUP(Z7,'Name List'!$C$2:$F$98,4,FALSE)</f>
        <v>38</v>
      </c>
      <c r="O7" s="153" t="str">
        <f>VLOOKUP(Z7,'Name List'!$C$2:$F$98,2,FALSE)</f>
        <v>muGg; ghi\ (,d;\h)</v>
      </c>
      <c r="P7" s="68">
        <f>VLOOKUP(AA7,'Name List'!$C$2:$F$98,4,FALSE)</f>
        <v>26</v>
      </c>
      <c r="Q7" s="153" t="str">
        <f>VLOOKUP(AA7,'Name List'!$C$2:$F$98,2,FALSE)</f>
        <v>gpf;`;</v>
      </c>
      <c r="R7" s="68">
        <f>VLOOKUP(AB7,'Name List'!$C$8:$F$102,4,FALSE)</f>
        <v>41</v>
      </c>
      <c r="S7" s="153" t="str">
        <f>VLOOKUP(AB7,'Name List'!$C$2:$F$98,2,FALSE)</f>
        <v>,yf;fzk;</v>
      </c>
      <c r="T7" s="154" t="s">
        <v>134</v>
      </c>
      <c r="U7" s="155">
        <v>86</v>
      </c>
      <c r="V7" s="155">
        <v>17</v>
      </c>
      <c r="W7" s="155">
        <v>3</v>
      </c>
      <c r="X7" s="155">
        <v>36</v>
      </c>
      <c r="Y7" s="155">
        <v>87</v>
      </c>
      <c r="Z7" s="157">
        <v>68</v>
      </c>
      <c r="AA7" s="157">
        <v>28</v>
      </c>
      <c r="AB7" s="157">
        <v>56</v>
      </c>
      <c r="AC7" s="156"/>
      <c r="AE7" s="155">
        <v>87</v>
      </c>
      <c r="AF7" s="155">
        <v>36</v>
      </c>
      <c r="AG7" s="155">
        <v>91</v>
      </c>
      <c r="AH7" s="155">
        <v>56</v>
      </c>
      <c r="AI7" s="155">
        <v>17</v>
      </c>
      <c r="AJ7" s="155">
        <v>67</v>
      </c>
      <c r="AK7" s="155">
        <v>50</v>
      </c>
      <c r="AL7" s="155">
        <v>28</v>
      </c>
      <c r="AM7" s="156"/>
    </row>
    <row r="8" spans="1:39" s="28" customFormat="1" ht="60" customHeight="1">
      <c r="A8" s="66">
        <f>VLOOKUP(U8,'Name List'!$C$2:$F$98,4,FALSE)</f>
        <v>46</v>
      </c>
      <c r="B8" s="153" t="str">
        <f>VLOOKUP(U8,'Name List'!$C$2:$F$98,2,FALSE)</f>
        <v>cUJg; ghi\</v>
      </c>
      <c r="C8" s="71">
        <f>VLOOKUP(V8,'Name List'!$C$2:$F$98,4,FALSE)</f>
        <v>36</v>
      </c>
      <c r="D8" s="153" t="str">
        <f>VLOOKUP(V8,'Name List'!$C$2:$F$98,2,FALSE)</f>
        <v>tuyhW</v>
      </c>
      <c r="E8" s="66">
        <f>VLOOKUP(W8,'Name List'!$C$2:$F$98,4,FALSE)</f>
        <v>38</v>
      </c>
      <c r="F8" s="153" t="str">
        <f>VLOOKUP(W8,'Name List'!$C$2:$F$98,2,FALSE)</f>
        <v>mfPjh</v>
      </c>
      <c r="G8" s="65"/>
      <c r="H8" s="45"/>
      <c r="I8" s="72">
        <f>VLOOKUP(X8,'Name List'!$C$2:$F$98,4,FALSE)</f>
        <v>31</v>
      </c>
      <c r="J8" s="158" t="str">
        <f>VLOOKUP(X8,'Name List'!$C$2:$F$98,2,FALSE)</f>
        <v>gpf;`;</v>
      </c>
      <c r="K8" s="72">
        <f>VLOOKUP(Y8,'Name List'!$C$2:$F$98,4,FALSE)</f>
        <v>46</v>
      </c>
      <c r="L8" s="158" t="str">
        <f>VLOOKUP(Y8,'Name List'!$C$2:$F$98,2,FALSE)</f>
        <v>,yf;fzk;</v>
      </c>
      <c r="M8" s="45"/>
      <c r="N8" s="72">
        <f>VLOOKUP(Z8,'Name List'!$C$2:$F$98,4,FALSE)</f>
        <v>46</v>
      </c>
      <c r="O8" s="158" t="str">
        <f>VLOOKUP(Z8,'Name List'!$C$2:$F$98,2,FALSE)</f>
        <v>muGg; ghi\ (,d;\h)</v>
      </c>
      <c r="P8" s="72">
        <f>VLOOKUP(AA8,'Name List'!$C$2:$F$98,4,FALSE)</f>
        <v>39</v>
      </c>
      <c r="Q8" s="158" t="str">
        <f>VLOOKUP(AA8,'Name List'!$C$2:$F$98,2,FALSE)</f>
        <v>jg;]Pu;</v>
      </c>
      <c r="R8" s="72">
        <f>VLOOKUP(AB8,'Name List'!$C$11:$F$105,4,FALSE)</f>
        <v>46</v>
      </c>
      <c r="S8" s="158" t="str">
        <f>VLOOKUP(AB8,'Name List'!$C$2:$F$98,2,FALSE)</f>
        <v>`jP];</v>
      </c>
      <c r="T8" s="154" t="s">
        <v>135</v>
      </c>
      <c r="U8" s="155">
        <v>88</v>
      </c>
      <c r="V8" s="155">
        <v>45</v>
      </c>
      <c r="W8" s="155">
        <v>37</v>
      </c>
      <c r="X8" s="155">
        <v>29</v>
      </c>
      <c r="Y8" s="155">
        <v>57</v>
      </c>
      <c r="Z8" s="157">
        <v>69</v>
      </c>
      <c r="AA8" s="157">
        <v>8</v>
      </c>
      <c r="AB8" s="157">
        <v>18</v>
      </c>
      <c r="AC8" s="156"/>
      <c r="AE8" s="155">
        <v>45</v>
      </c>
      <c r="AF8" s="155">
        <v>4</v>
      </c>
      <c r="AG8" s="155">
        <v>88</v>
      </c>
      <c r="AH8" s="155">
        <v>18</v>
      </c>
      <c r="AI8" s="155">
        <v>8</v>
      </c>
      <c r="AJ8" s="155">
        <v>29</v>
      </c>
      <c r="AK8" s="155">
        <v>69</v>
      </c>
      <c r="AL8" s="155">
        <v>57</v>
      </c>
      <c r="AM8" s="156"/>
    </row>
    <row r="9" spans="1:39" s="28" customFormat="1" ht="60" customHeight="1">
      <c r="A9" s="67">
        <f>VLOOKUP(U9,'Name List'!$C$2:$F$98,4,FALSE)</f>
        <v>36</v>
      </c>
      <c r="B9" s="153" t="str">
        <f>VLOOKUP(U9,'Name List'!$C$2:$F$98,2,FALSE)</f>
        <v>tuyhW</v>
      </c>
      <c r="C9" s="69">
        <f>VLOOKUP(V9,'Name List'!$C$2:$F$98,4,FALSE)</f>
        <v>31</v>
      </c>
      <c r="D9" s="153" t="str">
        <f>VLOOKUP(V9,'Name List'!$C$2:$F$98,2,FALSE)</f>
        <v>mfPjh</v>
      </c>
      <c r="E9" s="67">
        <f>VLOOKUP(W9,'Name List'!$C$2:$F$98,4,FALSE)</f>
        <v>28</v>
      </c>
      <c r="F9" s="153" t="str">
        <f>VLOOKUP(W9,'Name List'!$C$2:$F$98,2,FALSE)</f>
        <v>gpf;`;</v>
      </c>
      <c r="G9" s="65"/>
      <c r="H9" s="45"/>
      <c r="I9" s="68">
        <f>VLOOKUP(X9,'Name List'!$C$2:$F$98,4,FALSE)</f>
        <v>38</v>
      </c>
      <c r="J9" s="153" t="str">
        <f>VLOOKUP(X9,'Name List'!$C$2:$F$98,2,FALSE)</f>
        <v>ghfg; gpuptpid</v>
      </c>
      <c r="K9" s="68">
        <f>VLOOKUP(Y9,'Name List'!$C$2:$F$98,4,FALSE)</f>
        <v>39</v>
      </c>
      <c r="L9" s="153" t="str">
        <f>VLOOKUP(Y9,'Name List'!$C$2:$F$98,2,FALSE)</f>
        <v>muGg; ghi\ (,d;\h)</v>
      </c>
      <c r="M9" s="45"/>
      <c r="N9" s="68">
        <f>VLOOKUP(Z9,'Name List'!$C$2:$F$98,4,FALSE)</f>
        <v>26</v>
      </c>
      <c r="O9" s="153" t="str">
        <f>VLOOKUP(Z9,'Name List'!$C$2:$F$98,2,FALSE)</f>
        <v>,yf;fzk;</v>
      </c>
      <c r="P9" s="68">
        <f>VLOOKUP(AA9,'Name List'!$C$2:$F$98,4,FALSE)</f>
        <v>36</v>
      </c>
      <c r="Q9" s="153" t="str">
        <f>VLOOKUP(AA9,'Name List'!$C$2:$F$98,2,FALSE)</f>
        <v>`jP];</v>
      </c>
      <c r="R9" s="68">
        <f>VLOOKUP(AB9,'Name List'!$C$15:$F$108,4,FALSE)</f>
        <v>28</v>
      </c>
      <c r="S9" s="153" t="str">
        <f>VLOOKUP(AB9,'Name List'!$C$2:$F$98,2,FALSE)</f>
        <v>jg;]Pu;</v>
      </c>
      <c r="T9" s="154" t="s">
        <v>136</v>
      </c>
      <c r="U9" s="157">
        <v>46</v>
      </c>
      <c r="V9" s="157">
        <v>38</v>
      </c>
      <c r="W9" s="157">
        <v>30</v>
      </c>
      <c r="X9" s="157">
        <v>41</v>
      </c>
      <c r="Y9" s="157">
        <v>70</v>
      </c>
      <c r="Z9" s="157">
        <v>58</v>
      </c>
      <c r="AA9" s="157">
        <v>19</v>
      </c>
      <c r="AB9" s="157">
        <v>9</v>
      </c>
      <c r="AC9" s="156"/>
      <c r="AE9" s="157">
        <v>38</v>
      </c>
      <c r="AF9" s="157">
        <v>46</v>
      </c>
      <c r="AG9" s="157">
        <v>73</v>
      </c>
      <c r="AH9" s="157">
        <v>19</v>
      </c>
      <c r="AI9" s="157">
        <v>30</v>
      </c>
      <c r="AJ9" s="157">
        <v>70</v>
      </c>
      <c r="AK9" s="157">
        <v>58</v>
      </c>
      <c r="AL9" s="157">
        <v>9</v>
      </c>
      <c r="AM9" s="156"/>
    </row>
    <row r="10" spans="1:39" s="28" customFormat="1" ht="60" customHeight="1">
      <c r="A10" s="67">
        <f>VLOOKUP(U10,'Name List'!$C$2:$F$98,4,FALSE)</f>
        <v>41</v>
      </c>
      <c r="B10" s="153" t="str">
        <f>VLOOKUP(U10,'Name List'!$C$2:$F$98,2,FALSE)</f>
        <v>c]{Yy; `jP];</v>
      </c>
      <c r="C10" s="69">
        <f>VLOOKUP(V10,'Name List'!$C$2:$F$98,4,FALSE)</f>
        <v>46</v>
      </c>
      <c r="D10" s="153" t="str">
        <f>VLOOKUP(V10,'Name List'!$C$2:$F$98,2,FALSE)</f>
        <v>mj;ahd;</v>
      </c>
      <c r="E10" s="67">
        <f>VLOOKUP(W10,'Name List'!$C$2:$F$98,4,FALSE)</f>
        <v>26</v>
      </c>
      <c r="F10" s="153" t="str">
        <f>VLOOKUP(W10,'Name List'!$C$2:$F$98,2,FALSE)</f>
        <v>,yf;fzk;</v>
      </c>
      <c r="G10" s="65"/>
      <c r="H10" s="45"/>
      <c r="I10" s="68">
        <f>VLOOKUP(X10,'Name List'!$C$2:$F$98,4,FALSE)</f>
        <v>36</v>
      </c>
      <c r="J10" s="153" t="str">
        <f>VLOOKUP(X10,'Name List'!$C$2:$F$98,2,FALSE)</f>
        <v>tuyhW</v>
      </c>
      <c r="K10" s="68">
        <f>VLOOKUP(Y10,'Name List'!$C$2:$F$98,4,FALSE)</f>
        <v>26</v>
      </c>
      <c r="L10" s="153" t="str">
        <f>VLOOKUP(Y10,'Name List'!$C$2:$F$98,2,FALSE)</f>
        <v>gpf;`;</v>
      </c>
      <c r="M10" s="45"/>
      <c r="N10" s="68">
        <f>VLOOKUP(Z10,'Name List'!$C$2:$F$98,4,FALSE)</f>
        <v>36</v>
      </c>
      <c r="O10" s="153" t="str">
        <f>VLOOKUP(Z10,'Name List'!$C$2:$F$98,2,FALSE)</f>
        <v>jg;]Pu;</v>
      </c>
      <c r="P10" s="68">
        <f>VLOOKUP(AA10,'Name List'!$C$2:$F$98,4,FALSE)</f>
        <v>31</v>
      </c>
      <c r="Q10" s="153" t="str">
        <f>VLOOKUP(AA10,'Name List'!$C$2:$F$98,2,FALSE)</f>
        <v>mfPjh</v>
      </c>
      <c r="R10" s="68">
        <f>VLOOKUP(AB10,'Name List'!$C$15:$F$108,4,FALSE)</f>
        <v>39</v>
      </c>
      <c r="S10" s="153" t="str">
        <f>VLOOKUP(AB10,'Name List'!$C$2:$F$98,2,FALSE)</f>
        <v>muGg; ghi\ (,d;\h)</v>
      </c>
      <c r="T10" s="154" t="s">
        <v>137</v>
      </c>
      <c r="U10" s="157">
        <v>24</v>
      </c>
      <c r="V10" s="157">
        <v>81</v>
      </c>
      <c r="W10" s="157">
        <v>59</v>
      </c>
      <c r="X10" s="157">
        <v>47</v>
      </c>
      <c r="Y10" s="157">
        <v>31</v>
      </c>
      <c r="Z10" s="159">
        <v>10</v>
      </c>
      <c r="AA10" s="159">
        <v>39</v>
      </c>
      <c r="AB10" s="159">
        <v>71</v>
      </c>
      <c r="AC10" s="156"/>
      <c r="AE10" s="157"/>
      <c r="AF10" s="157"/>
      <c r="AG10" s="157"/>
      <c r="AH10" s="157"/>
      <c r="AI10" s="157"/>
      <c r="AJ10" s="157"/>
      <c r="AK10" s="157"/>
      <c r="AL10" s="157"/>
      <c r="AM10" s="156"/>
    </row>
    <row r="11" spans="1:39" s="28" customFormat="1" ht="60" customHeight="1">
      <c r="A11" s="74">
        <f>VLOOKUP(U11,'Name List'!$C$2:$F$98,4,FALSE)</f>
        <v>28</v>
      </c>
      <c r="B11" s="160" t="str">
        <f>VLOOKUP(U11,'Name List'!$C$2:$F$98,2,FALSE)</f>
        <v>jg;]Pu;</v>
      </c>
      <c r="C11" s="76">
        <f>VLOOKUP(V11,'Name List'!$C$2:$F$98,4,FALSE)</f>
        <v>38</v>
      </c>
      <c r="D11" s="160" t="str">
        <f>VLOOKUP(V11,'Name List'!$C$2:$F$98,2,FALSE)</f>
        <v>kPfhj;</v>
      </c>
      <c r="E11" s="74">
        <f>VLOOKUP(W11,'Name List'!$C$2:$F$98,4,FALSE)</f>
        <v>31</v>
      </c>
      <c r="F11" s="160" t="str">
        <f>VLOOKUP(W11,'Name List'!$C$2:$F$98,2,FALSE)</f>
        <v>gpuf;</v>
      </c>
      <c r="G11" s="77"/>
      <c r="H11" s="62"/>
      <c r="I11" s="78">
        <f>VLOOKUP(X11,'Name List'!$C$2:$F$98,4,FALSE)</f>
        <v>26</v>
      </c>
      <c r="J11" s="161" t="str">
        <f>VLOOKUP(X11,'Name List'!$C$2:$F$98,2,FALSE)</f>
        <v>,yf;fzk;</v>
      </c>
      <c r="K11" s="78">
        <f>VLOOKUP(Y11,'Name List'!$C$2:$F$98,4,FALSE)</f>
        <v>28</v>
      </c>
      <c r="L11" s="161" t="str">
        <f>VLOOKUP(Y11,'Name List'!$C$2:$F$98,2,FALSE)</f>
        <v>muGg; ghi\ (,d;\h)</v>
      </c>
      <c r="M11" s="62"/>
      <c r="N11" s="78">
        <f>VLOOKUP(Z11,'Name List'!$C$2:$F$98,4,FALSE)</f>
        <v>41</v>
      </c>
      <c r="O11" s="161" t="str">
        <f>VLOOKUP(Z11,'Name List'!$C$2:$F$98,2,FALSE)</f>
        <v>`jP];</v>
      </c>
      <c r="P11" s="78">
        <f>VLOOKUP(AA11,'Name List'!$C$2:$F$98,4,FALSE)</f>
        <v>41</v>
      </c>
      <c r="Q11" s="161" t="str">
        <f>VLOOKUP(AA11,'Name List'!$C$2:$F$98,2,FALSE)</f>
        <v>tuyhW</v>
      </c>
      <c r="R11" s="78">
        <f>VLOOKUP(AB11,'Name List'!$C$18:$F$111,4,FALSE)</f>
        <v>31</v>
      </c>
      <c r="S11" s="161" t="str">
        <f>VLOOKUP(AB11,'Name List'!$C$2:$F$98,2,FALSE)</f>
        <v>gpf;`;</v>
      </c>
      <c r="T11" s="154" t="s">
        <v>138</v>
      </c>
      <c r="U11" s="155">
        <v>11</v>
      </c>
      <c r="V11" s="155">
        <v>82</v>
      </c>
      <c r="W11" s="155">
        <v>83</v>
      </c>
      <c r="X11" s="155">
        <v>60</v>
      </c>
      <c r="Y11" s="155">
        <v>72</v>
      </c>
      <c r="Z11" s="162">
        <v>21</v>
      </c>
      <c r="AA11" s="162">
        <v>48</v>
      </c>
      <c r="AB11" s="162">
        <v>32</v>
      </c>
      <c r="AC11" s="156"/>
      <c r="AE11" s="155">
        <v>54</v>
      </c>
      <c r="AF11" s="155">
        <v>82</v>
      </c>
      <c r="AG11" s="155">
        <v>75</v>
      </c>
      <c r="AH11" s="155">
        <v>72</v>
      </c>
      <c r="AI11" s="155">
        <v>21</v>
      </c>
      <c r="AJ11" s="155">
        <v>32</v>
      </c>
      <c r="AK11" s="155">
        <v>60</v>
      </c>
      <c r="AL11" s="155">
        <v>11</v>
      </c>
      <c r="AM11" s="156"/>
    </row>
    <row r="12" spans="1:39" s="28" customFormat="1" ht="42.75" customHeight="1"/>
    <row r="13" spans="1:39" s="28" customFormat="1" ht="33" customHeight="1"/>
    <row r="14" spans="1:39" s="28" customFormat="1" ht="27" customHeight="1"/>
    <row r="15" spans="1:39" s="28" customFormat="1" ht="21" customHeight="1"/>
    <row r="16" spans="1:39" s="28" customFormat="1" ht="70.5" customHeight="1"/>
    <row r="17" s="28" customFormat="1" ht="70.5" customHeight="1"/>
    <row r="18" s="28" customFormat="1" ht="70.5" customHeight="1"/>
    <row r="19" s="28" customFormat="1" ht="70.5" customHeight="1"/>
    <row r="20" s="28" customFormat="1" ht="70.5" customHeight="1"/>
    <row r="21" s="28" customFormat="1" ht="70.5" customHeight="1"/>
    <row r="22" s="28" customFormat="1" ht="42.75" customHeight="1"/>
    <row r="23" s="28" customFormat="1" ht="33" customHeight="1"/>
    <row r="24" s="28" customFormat="1" ht="27" customHeight="1"/>
    <row r="25" s="28" customFormat="1" ht="21" customHeight="1"/>
    <row r="26" s="28" customFormat="1" ht="70.5" customHeight="1"/>
    <row r="27" s="28" customFormat="1" ht="70.5" customHeight="1"/>
    <row r="28" s="28" customFormat="1" ht="70.5" customHeight="1"/>
    <row r="29" s="28" customFormat="1" ht="70.5" customHeight="1"/>
    <row r="30" s="28" customFormat="1" ht="70.5" customHeight="1"/>
    <row r="31" s="28" customFormat="1" ht="70.5" customHeight="1"/>
    <row r="32" s="28" customFormat="1" ht="70.5" customHeight="1"/>
    <row r="33" s="28" customFormat="1" ht="42.75" customHeight="1"/>
    <row r="34" s="28" customFormat="1" ht="31.5" customHeight="1"/>
    <row r="35" s="28" customFormat="1" ht="24.75" customHeight="1"/>
    <row r="36" s="28" customFormat="1" ht="31.5" customHeight="1"/>
    <row r="37" s="28" customFormat="1" ht="22.5" customHeight="1"/>
    <row r="38" s="28" customFormat="1" ht="31.5" customHeight="1"/>
    <row r="39" s="28" customFormat="1" ht="26.25" customHeight="1"/>
    <row r="40" s="28" customFormat="1" ht="31.5" customHeight="1"/>
    <row r="41" s="28" customFormat="1" ht="26.25" customHeight="1"/>
    <row r="42" s="28" customFormat="1" ht="31.5" customHeight="1"/>
    <row r="43" s="28" customFormat="1" ht="26.25" customHeight="1"/>
    <row r="44" s="28" customFormat="1" ht="31.5" customHeight="1"/>
    <row r="45" s="28" customFormat="1" ht="24.75" customHeight="1"/>
    <row r="46" s="28" customFormat="1" ht="27.75" customHeight="1"/>
    <row r="47" s="28" customFormat="1" ht="41.25" customHeight="1"/>
    <row r="48" s="28" customFormat="1" ht="33" customHeight="1"/>
    <row r="49" s="28" customFormat="1" ht="45" customHeight="1"/>
    <row r="50" s="28" customFormat="1" ht="42.75" customHeight="1"/>
    <row r="51" s="28" customFormat="1" ht="31.5" customHeight="1"/>
    <row r="52" s="28" customFormat="1" ht="24.75" customHeight="1"/>
    <row r="53" s="28" customFormat="1" ht="31.5" customHeight="1"/>
    <row r="54" s="28" customFormat="1" ht="22.5" customHeight="1"/>
    <row r="55" s="28" customFormat="1" ht="31.5" customHeight="1"/>
    <row r="56" s="28" customFormat="1" ht="26.25" customHeight="1"/>
    <row r="57" s="28" customFormat="1" ht="31.5" customHeight="1"/>
    <row r="58" s="28" customFormat="1" ht="26.25" customHeight="1"/>
    <row r="59" s="28" customFormat="1" ht="31.5" customHeight="1"/>
    <row r="60" s="28" customFormat="1" ht="26.25" customHeight="1"/>
    <row r="61" s="28" customFormat="1" ht="31.5" customHeight="1"/>
    <row r="62" s="28" customFormat="1" ht="24.75" customHeight="1"/>
    <row r="63" s="28" customFormat="1" ht="30" customHeight="1"/>
    <row r="64" s="28" customFormat="1" ht="41.25" customHeight="1"/>
    <row r="65" s="28" customFormat="1" ht="33" customHeight="1"/>
    <row r="66" s="28" customFormat="1" ht="45" customHeight="1"/>
    <row r="67" s="28" customFormat="1" ht="42.75" customHeight="1"/>
    <row r="68" s="28" customFormat="1" ht="31.5" customHeight="1"/>
    <row r="69" s="28" customFormat="1" ht="24.75" customHeight="1"/>
    <row r="70" s="28" customFormat="1" ht="31.5" customHeight="1"/>
    <row r="71" s="28" customFormat="1" ht="22.5" customHeight="1"/>
    <row r="72" s="28" customFormat="1" ht="31.5" customHeight="1"/>
    <row r="73" s="28" customFormat="1" ht="26.25" customHeight="1"/>
    <row r="74" s="28" customFormat="1" ht="31.5" customHeight="1"/>
    <row r="75" s="28" customFormat="1" ht="26.25" customHeight="1"/>
    <row r="76" s="28" customFormat="1" ht="31.5" customHeight="1"/>
    <row r="77" s="28" customFormat="1" ht="26.25" customHeight="1"/>
    <row r="78" s="28" customFormat="1" ht="31.5" customHeight="1"/>
    <row r="79" s="28" customFormat="1" ht="24.75" customHeight="1"/>
    <row r="80" s="28" customFormat="1" ht="29.25" customHeight="1"/>
    <row r="81" spans="1:20" s="28" customFormat="1" ht="41.25" customHeight="1"/>
    <row r="82" spans="1:20" s="28" customFormat="1" ht="33" customHeight="1"/>
    <row r="83" spans="1:20" s="28" customFormat="1" ht="45" customHeight="1"/>
    <row r="84" spans="1:20" s="28" customFormat="1" ht="42.75" customHeight="1"/>
    <row r="85" spans="1:20" s="28" customFormat="1" ht="31.5" customHeight="1"/>
    <row r="86" spans="1:20" s="28" customFormat="1" ht="24.75" customHeight="1"/>
    <row r="87" spans="1:20" s="28" customFormat="1" ht="31.5" customHeight="1"/>
    <row r="88" spans="1:20" s="28" customFormat="1" ht="22.5" customHeight="1"/>
    <row r="89" spans="1:20" s="28" customFormat="1" ht="31.5" customHeight="1"/>
    <row r="90" spans="1:20" s="28" customFormat="1" ht="26.25" customHeight="1"/>
    <row r="91" spans="1:20" s="28" customFormat="1" ht="31.5" customHeight="1">
      <c r="A91" s="63"/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</row>
    <row r="92" spans="1:20" s="28" customFormat="1" ht="26.25" customHeight="1">
      <c r="A92" s="63"/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</row>
    <row r="93" spans="1:20" s="28" customFormat="1" ht="31.5" customHeight="1">
      <c r="A93" s="63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</row>
    <row r="94" spans="1:20" s="28" customFormat="1" ht="26.25" customHeight="1">
      <c r="A94" s="63"/>
      <c r="B94" s="63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</row>
    <row r="95" spans="1:20" s="28" customFormat="1" ht="31.5" customHeight="1">
      <c r="A95" s="63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</row>
    <row r="96" spans="1:20" s="28" customFormat="1" ht="24.75" customHeight="1">
      <c r="A96" s="63"/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</row>
    <row r="97" spans="1:20" s="28" customFormat="1" ht="32.25" customHeight="1">
      <c r="A97" s="63"/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</row>
  </sheetData>
  <mergeCells count="22">
    <mergeCell ref="A1:S1"/>
    <mergeCell ref="I4:J4"/>
    <mergeCell ref="K4:L4"/>
    <mergeCell ref="N4:O4"/>
    <mergeCell ref="P4:Q4"/>
    <mergeCell ref="R4:S4"/>
    <mergeCell ref="A2:T2"/>
    <mergeCell ref="A3:B3"/>
    <mergeCell ref="C3:D3"/>
    <mergeCell ref="E3:F3"/>
    <mergeCell ref="H3:H11"/>
    <mergeCell ref="I3:J3"/>
    <mergeCell ref="K3:L3"/>
    <mergeCell ref="M3:M11"/>
    <mergeCell ref="N3:O3"/>
    <mergeCell ref="G3:G11"/>
    <mergeCell ref="T3:T4"/>
    <mergeCell ref="P3:Q3"/>
    <mergeCell ref="R3:S3"/>
    <mergeCell ref="A4:B4"/>
    <mergeCell ref="C4:D4"/>
    <mergeCell ref="E4:F4"/>
  </mergeCells>
  <conditionalFormatting sqref="T3 T5:T11">
    <cfRule type="cellIs" dxfId="2" priority="1" operator="equal">
      <formula>41</formula>
    </cfRule>
  </conditionalFormatting>
  <pageMargins left="0.26785714285714302" right="0.223214285714286" top="0.4" bottom="4.4117647000000003E-2" header="0.3" footer="0.3"/>
  <pageSetup paperSize="9" orientation="landscape" horizontalDpi="4294967293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AO97"/>
  <sheetViews>
    <sheetView rightToLeft="1" view="pageLayout" zoomScale="73" zoomScaleNormal="100" zoomScalePageLayoutView="73" workbookViewId="0">
      <selection activeCell="AR1" sqref="AR1"/>
    </sheetView>
  </sheetViews>
  <sheetFormatPr defaultColWidth="9.109375" defaultRowHeight="13.8"/>
  <cols>
    <col min="1" max="1" width="2.88671875" style="63" customWidth="1"/>
    <col min="2" max="2" width="12" style="63" customWidth="1"/>
    <col min="3" max="3" width="2.6640625" style="63" customWidth="1"/>
    <col min="4" max="4" width="12" style="63" customWidth="1"/>
    <col min="5" max="5" width="2.6640625" style="63" customWidth="1"/>
    <col min="6" max="6" width="12" style="63" customWidth="1"/>
    <col min="7" max="8" width="4.33203125" style="63" hidden="1" customWidth="1"/>
    <col min="9" max="9" width="2.6640625" style="63" customWidth="1"/>
    <col min="10" max="10" width="12" style="63" customWidth="1"/>
    <col min="11" max="11" width="2.6640625" style="63" customWidth="1"/>
    <col min="12" max="12" width="12" style="63" customWidth="1"/>
    <col min="13" max="13" width="3.88671875" style="63" hidden="1" customWidth="1"/>
    <col min="14" max="15" width="3.88671875" style="63" customWidth="1"/>
    <col min="16" max="16" width="2.6640625" style="63" customWidth="1"/>
    <col min="17" max="17" width="12" style="63" customWidth="1"/>
    <col min="18" max="18" width="2.6640625" style="63" customWidth="1"/>
    <col min="19" max="19" width="12" style="63" customWidth="1"/>
    <col min="20" max="20" width="2.6640625" style="63" customWidth="1"/>
    <col min="21" max="21" width="12" style="63" customWidth="1"/>
    <col min="22" max="22" width="15.88671875" style="63" customWidth="1"/>
    <col min="23" max="25" width="4.33203125" style="28" hidden="1" customWidth="1"/>
    <col min="26" max="30" width="5" style="28" hidden="1" customWidth="1"/>
    <col min="31" max="31" width="12.109375" style="28" hidden="1" customWidth="1"/>
    <col min="32" max="32" width="0" style="28" hidden="1" customWidth="1"/>
    <col min="33" max="40" width="4.88671875" style="28" hidden="1" customWidth="1"/>
    <col min="41" max="41" width="11.5546875" style="28" hidden="1" customWidth="1"/>
    <col min="42" max="43" width="0" style="28" hidden="1" customWidth="1"/>
    <col min="44" max="16384" width="9.109375" style="28"/>
  </cols>
  <sheetData>
    <row r="1" spans="1:41" ht="42.75" customHeight="1">
      <c r="A1" s="25" t="s">
        <v>149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7" t="s">
        <v>154</v>
      </c>
      <c r="Z1" s="29"/>
      <c r="AA1" s="29"/>
      <c r="AB1" s="30"/>
      <c r="AC1" s="29"/>
      <c r="AD1" s="29"/>
      <c r="AE1" s="29"/>
      <c r="AG1" s="28" t="s">
        <v>75</v>
      </c>
    </row>
    <row r="2" spans="1:41" ht="33" customHeight="1">
      <c r="A2" s="31" t="str">
        <f>Mon!A2</f>
        <v>ehshe;j ghlNeu ml;ltid - 2026</v>
      </c>
      <c r="B2" s="32"/>
      <c r="C2" s="33"/>
      <c r="D2" s="33"/>
      <c r="E2" s="33"/>
      <c r="F2" s="33"/>
      <c r="G2" s="33"/>
      <c r="H2" s="33"/>
      <c r="I2" s="33"/>
      <c r="J2" s="33"/>
      <c r="K2" s="32"/>
      <c r="L2" s="32"/>
      <c r="M2" s="33"/>
      <c r="N2" s="33"/>
      <c r="O2" s="33"/>
      <c r="P2" s="32"/>
      <c r="Q2" s="32"/>
      <c r="R2" s="33"/>
      <c r="S2" s="33"/>
      <c r="T2" s="33"/>
      <c r="U2" s="33"/>
      <c r="V2" s="34"/>
      <c r="Z2" s="29"/>
      <c r="AA2" s="29"/>
      <c r="AB2" s="29"/>
      <c r="AC2" s="29"/>
      <c r="AD2" s="29"/>
      <c r="AE2" s="29"/>
    </row>
    <row r="3" spans="1:41" ht="27" customHeight="1">
      <c r="A3" s="35" t="s">
        <v>147</v>
      </c>
      <c r="B3" s="36"/>
      <c r="C3" s="35" t="s">
        <v>146</v>
      </c>
      <c r="D3" s="36"/>
      <c r="E3" s="35" t="s">
        <v>145</v>
      </c>
      <c r="F3" s="37"/>
      <c r="G3" s="38" t="s">
        <v>87</v>
      </c>
      <c r="H3" s="38" t="s">
        <v>88</v>
      </c>
      <c r="I3" s="37" t="s">
        <v>144</v>
      </c>
      <c r="J3" s="36"/>
      <c r="K3" s="39" t="s">
        <v>143</v>
      </c>
      <c r="L3" s="39"/>
      <c r="M3" s="38" t="s">
        <v>86</v>
      </c>
      <c r="N3" s="38" t="s">
        <v>158</v>
      </c>
      <c r="O3" s="38" t="s">
        <v>159</v>
      </c>
      <c r="P3" s="39" t="s">
        <v>142</v>
      </c>
      <c r="Q3" s="39"/>
      <c r="R3" s="35" t="s">
        <v>141</v>
      </c>
      <c r="S3" s="36"/>
      <c r="T3" s="35" t="s">
        <v>140</v>
      </c>
      <c r="U3" s="36"/>
      <c r="V3" s="40" t="s">
        <v>139</v>
      </c>
      <c r="W3" s="41">
        <v>8</v>
      </c>
      <c r="X3" s="41">
        <v>7</v>
      </c>
      <c r="Y3" s="41">
        <v>6</v>
      </c>
      <c r="Z3" s="41">
        <v>5</v>
      </c>
      <c r="AA3" s="41">
        <v>4</v>
      </c>
      <c r="AB3" s="41">
        <v>3</v>
      </c>
      <c r="AC3" s="41">
        <v>2</v>
      </c>
      <c r="AD3" s="41">
        <v>1</v>
      </c>
      <c r="AE3" s="42" t="s">
        <v>0</v>
      </c>
      <c r="AG3" s="41">
        <v>8</v>
      </c>
      <c r="AH3" s="41">
        <v>7</v>
      </c>
      <c r="AI3" s="41">
        <v>6</v>
      </c>
      <c r="AJ3" s="41">
        <v>5</v>
      </c>
      <c r="AK3" s="41">
        <v>4</v>
      </c>
      <c r="AL3" s="41">
        <v>3</v>
      </c>
      <c r="AM3" s="41">
        <v>2</v>
      </c>
      <c r="AN3" s="41">
        <v>1</v>
      </c>
      <c r="AO3" s="42" t="s">
        <v>0</v>
      </c>
    </row>
    <row r="4" spans="1:41" ht="21" customHeight="1">
      <c r="A4" s="39" t="s">
        <v>100</v>
      </c>
      <c r="B4" s="39"/>
      <c r="C4" s="43" t="s">
        <v>99</v>
      </c>
      <c r="D4" s="44"/>
      <c r="E4" s="43" t="s">
        <v>98</v>
      </c>
      <c r="F4" s="44"/>
      <c r="G4" s="45"/>
      <c r="H4" s="45"/>
      <c r="I4" s="43" t="s">
        <v>97</v>
      </c>
      <c r="J4" s="44"/>
      <c r="K4" s="43" t="s">
        <v>96</v>
      </c>
      <c r="L4" s="44"/>
      <c r="M4" s="45"/>
      <c r="N4" s="45"/>
      <c r="O4" s="45"/>
      <c r="P4" s="43" t="s">
        <v>89</v>
      </c>
      <c r="Q4" s="44"/>
      <c r="R4" s="43" t="s">
        <v>95</v>
      </c>
      <c r="S4" s="44"/>
      <c r="T4" s="43" t="s">
        <v>94</v>
      </c>
      <c r="U4" s="44"/>
      <c r="V4" s="46"/>
      <c r="W4" s="41"/>
      <c r="X4" s="41"/>
      <c r="Y4" s="41"/>
      <c r="Z4" s="41"/>
      <c r="AA4" s="41"/>
      <c r="AB4" s="41"/>
      <c r="AC4" s="41"/>
      <c r="AD4" s="41"/>
      <c r="AE4" s="47" t="s">
        <v>1</v>
      </c>
      <c r="AG4" s="41"/>
      <c r="AH4" s="41"/>
      <c r="AI4" s="41"/>
      <c r="AJ4" s="41"/>
      <c r="AK4" s="41"/>
      <c r="AL4" s="41"/>
      <c r="AM4" s="41"/>
      <c r="AN4" s="41"/>
      <c r="AO4" s="47" t="s">
        <v>1</v>
      </c>
    </row>
    <row r="5" spans="1:41" ht="63.75" customHeight="1">
      <c r="A5" s="48">
        <f>VLOOKUP(W5,'Name List'!$C$2:$F$98,4,FALSE)</f>
        <v>26</v>
      </c>
      <c r="B5" s="49" t="str">
        <f>VLOOKUP(W5,'Name List'!$C$2:$F$98,2,FALSE)</f>
        <v>]u;g; (2)</v>
      </c>
      <c r="C5" s="50">
        <f>VLOOKUP(X5,'Name List'!$C$2:$F$98,4,FALSE)</f>
        <v>28</v>
      </c>
      <c r="D5" s="49" t="str">
        <f>VLOOKUP(X5,'Name List'!$C$2:$F$98,2,FALSE)</f>
        <v>fp]]{d; egpa;aPd;</v>
      </c>
      <c r="E5" s="50">
        <f>VLOOKUP(Y5,'Name List'!$C$2:$F$98,4,FALSE)</f>
        <v>36</v>
      </c>
      <c r="F5" s="49" t="str">
        <f>VLOOKUP(Y5,'Name List'!$C$2:$F$98,2,FALSE)</f>
        <v>my;Fu;Md; kddk;</v>
      </c>
      <c r="G5" s="45"/>
      <c r="H5" s="45"/>
      <c r="I5" s="50">
        <f>VLOOKUP(Z5,'Name List'!$C$2:$F$98,4,FALSE)</f>
        <v>39</v>
      </c>
      <c r="J5" s="49" t="str">
        <f>VLOOKUP(Z5,'Name List'!$C$2:$F$98,2,FALSE)</f>
        <v>,yf;fzk;</v>
      </c>
      <c r="K5" s="50">
        <f>VLOOKUP(AA5,'Name List'!$C$2:$F$98,4,FALSE)</f>
        <v>28</v>
      </c>
      <c r="L5" s="49" t="str">
        <f>VLOOKUP(AA5,'Name List'!$C$2:$F$98,2,FALSE)</f>
        <v>fp]]{d; egpa;aPd;</v>
      </c>
      <c r="M5" s="45"/>
      <c r="N5" s="45"/>
      <c r="O5" s="45"/>
      <c r="P5" s="50">
        <f>VLOOKUP(AB5,'Name List'!$C$2:$F$98,4,FALSE)</f>
        <v>31</v>
      </c>
      <c r="Q5" s="49" t="str">
        <f>VLOOKUP(AB5,'Name List'!$C$2:$F$98,2,FALSE)</f>
        <v>muGg; ghi\ (,d;\h)</v>
      </c>
      <c r="R5" s="50">
        <f>VLOOKUP(AC5,'Name List'!$C$2:$F$98,4,FALSE)</f>
        <v>41</v>
      </c>
      <c r="S5" s="49" t="str">
        <f>VLOOKUP(AC5,'Name List'!$C$2:$F$98,2,FALSE)</f>
        <v>muGg; ghi\( fpuhj;)</v>
      </c>
      <c r="T5" s="50">
        <f>VLOOKUP(AD5,'Name List'!$C$2:$F$98,4,FALSE)</f>
        <v>26</v>
      </c>
      <c r="U5" s="49" t="str">
        <f>VLOOKUP(AD5,'Name List'!$C$2:$F$98,2,FALSE)</f>
        <v>]u;g; (1)</v>
      </c>
      <c r="V5" s="51" t="s">
        <v>132</v>
      </c>
      <c r="W5" s="52">
        <v>94</v>
      </c>
      <c r="X5" s="52">
        <v>95</v>
      </c>
      <c r="Y5" s="52">
        <v>1</v>
      </c>
      <c r="Z5" s="52">
        <v>96</v>
      </c>
      <c r="AA5" s="52">
        <v>95</v>
      </c>
      <c r="AB5" s="52">
        <v>63</v>
      </c>
      <c r="AC5" s="52">
        <v>64</v>
      </c>
      <c r="AD5" s="52">
        <v>61</v>
      </c>
      <c r="AE5" s="53" t="s">
        <v>2</v>
      </c>
      <c r="AG5" s="52">
        <v>84</v>
      </c>
      <c r="AH5" s="52">
        <v>89</v>
      </c>
      <c r="AI5" s="52">
        <v>95</v>
      </c>
      <c r="AJ5" s="52">
        <v>61</v>
      </c>
      <c r="AK5" s="52">
        <v>26</v>
      </c>
      <c r="AL5" s="52">
        <v>63</v>
      </c>
      <c r="AM5" s="52">
        <v>64</v>
      </c>
      <c r="AN5" s="52">
        <v>61</v>
      </c>
      <c r="AO5" s="53" t="s">
        <v>2</v>
      </c>
    </row>
    <row r="6" spans="1:41" ht="63.75" customHeight="1">
      <c r="A6" s="50">
        <f>VLOOKUP(W6,'Name List'!$C$2:$F$98,4,FALSE)</f>
        <v>31</v>
      </c>
      <c r="B6" s="49" t="str">
        <f>VLOOKUP(W6,'Name List'!$C$2:$F$98,2,FALSE)</f>
        <v>gpf;`;</v>
      </c>
      <c r="C6" s="54">
        <f>VLOOKUP(X6,'Name List'!$C$2:$F$98,4,FALSE)</f>
        <v>41</v>
      </c>
      <c r="D6" s="49" t="str">
        <f>VLOOKUP(X6,'Name List'!$C$2:$F$98,2,FALSE)</f>
        <v>,yf;fzk;</v>
      </c>
      <c r="E6" s="55">
        <f>VLOOKUP(Y6,'Name List'!$C$2:$F$98,4,FALSE)</f>
        <v>46</v>
      </c>
      <c r="F6" s="49" t="str">
        <f>VLOOKUP(Y6,'Name List'!$C$2:$F$98,2,FALSE)</f>
        <v>muGg; ghi\ (,d;\h)</v>
      </c>
      <c r="G6" s="45"/>
      <c r="H6" s="45"/>
      <c r="I6" s="50">
        <f>VLOOKUP(Z6,'Name List'!$C$2:$F$98,4,FALSE)</f>
        <v>44</v>
      </c>
      <c r="J6" s="49" t="str">
        <f>VLOOKUP(Z6,'Name List'!$C$2:$F$98,2,FALSE)</f>
        <v>tuyhW</v>
      </c>
      <c r="K6" s="50">
        <f>VLOOKUP(AA6,'Name List'!$C$2:$F$98,4,FALSE)</f>
        <v>36</v>
      </c>
      <c r="L6" s="49" t="str">
        <f>VLOOKUP(AA6,'Name List'!$C$2:$F$98,2,FALSE)</f>
        <v>ju;[{kJy; Fu;Md;</v>
      </c>
      <c r="M6" s="45"/>
      <c r="N6" s="45"/>
      <c r="O6" s="45"/>
      <c r="P6" s="50">
        <f>VLOOKUP(AB6,'Name List'!$C$2:$F$98,4,FALSE)</f>
        <v>44</v>
      </c>
      <c r="Q6" s="49" t="str">
        <f>VLOOKUP(AB6,'Name List'!$C$2:$F$98,2,FALSE)</f>
        <v>`jP];</v>
      </c>
      <c r="R6" s="50">
        <f>VLOOKUP(AC6,'Name List'!$C$2:$F$98,4,FALSE)</f>
        <v>28</v>
      </c>
      <c r="S6" s="49" t="str">
        <f>VLOOKUP(AC6,'Name List'!$C$2:$F$98,2,FALSE)</f>
        <v>]u;g;</v>
      </c>
      <c r="T6" s="50">
        <f>VLOOKUP(AD6,'Name List'!$C$5:$F$99,4,FALSE)</f>
        <v>44</v>
      </c>
      <c r="U6" s="49" t="str">
        <f>VLOOKUP(AD6,'Name List'!$C$2:$F$98,2,FALSE)</f>
        <v>muGg; ghi\( fpuhj;)</v>
      </c>
      <c r="V6" s="51" t="s">
        <v>133</v>
      </c>
      <c r="W6" s="56">
        <v>27</v>
      </c>
      <c r="X6" s="56">
        <v>55</v>
      </c>
      <c r="Y6" s="56">
        <v>65</v>
      </c>
      <c r="Z6" s="56">
        <v>43</v>
      </c>
      <c r="AA6" s="56">
        <v>49</v>
      </c>
      <c r="AB6" s="56">
        <v>16</v>
      </c>
      <c r="AC6" s="56">
        <v>62</v>
      </c>
      <c r="AD6" s="56">
        <v>66</v>
      </c>
      <c r="AE6" s="53"/>
      <c r="AG6" s="56">
        <v>90</v>
      </c>
      <c r="AH6" s="56">
        <v>16</v>
      </c>
      <c r="AI6" s="56">
        <v>66</v>
      </c>
      <c r="AJ6" s="56">
        <v>85</v>
      </c>
      <c r="AK6" s="56">
        <v>27</v>
      </c>
      <c r="AL6" s="56">
        <v>62</v>
      </c>
      <c r="AM6" s="56">
        <v>55</v>
      </c>
      <c r="AN6" s="56">
        <v>65</v>
      </c>
      <c r="AO6" s="53"/>
    </row>
    <row r="7" spans="1:41" ht="63.75" customHeight="1">
      <c r="A7" s="50">
        <f>VLOOKUP(W7,'Name List'!$C$2:$F$98,4,FALSE)</f>
        <v>36</v>
      </c>
      <c r="B7" s="49" t="str">
        <f>VLOOKUP(W7,'Name List'!$C$2:$F$98,2,FALSE)</f>
        <v>m`;yhf;</v>
      </c>
      <c r="C7" s="54">
        <f>VLOOKUP(X7,'Name List'!$C$2:$F$98,4,FALSE)</f>
        <v>38</v>
      </c>
      <c r="D7" s="49" t="str">
        <f>VLOOKUP(X7,'Name List'!$C$2:$F$98,2,FALSE)</f>
        <v>`jP];</v>
      </c>
      <c r="E7" s="50">
        <f>VLOOKUP(Y7,'Name List'!$C$2:$F$98,4,FALSE)</f>
        <v>41</v>
      </c>
      <c r="F7" s="49" t="str">
        <f>VLOOKUP(Y7,'Name List'!$C$2:$F$98,2,FALSE)</f>
        <v>ju;[{kJy; Fu;Md;</v>
      </c>
      <c r="G7" s="45"/>
      <c r="H7" s="45"/>
      <c r="I7" s="50">
        <f>VLOOKUP(Z7,'Name List'!$C$2:$F$98,4,FALSE)</f>
        <v>28</v>
      </c>
      <c r="J7" s="49" t="str">
        <f>VLOOKUP(Z7,'Name List'!$C$2:$F$98,2,FALSE)</f>
        <v>tuyhW</v>
      </c>
      <c r="K7" s="50">
        <f>VLOOKUP(AA7,'Name List'!$C$2:$F$98,4,FALSE)</f>
        <v>41</v>
      </c>
      <c r="L7" s="49" t="str">
        <f>VLOOKUP(AA7,'Name List'!$C$2:$F$98,2,FALSE)</f>
        <v>cUJg; ghi\</v>
      </c>
      <c r="M7" s="45"/>
      <c r="N7" s="45"/>
      <c r="O7" s="45"/>
      <c r="P7" s="50">
        <f>VLOOKUP(AB7,'Name List'!$C$2:$F$98,4,FALSE)</f>
        <v>38</v>
      </c>
      <c r="Q7" s="49" t="str">
        <f>VLOOKUP(AB7,'Name List'!$C$2:$F$98,2,FALSE)</f>
        <v>muGg; ghi\ (,d;\h)</v>
      </c>
      <c r="R7" s="50">
        <f>VLOOKUP(AC7,'Name List'!$C$2:$F$98,4,FALSE)</f>
        <v>26</v>
      </c>
      <c r="S7" s="49" t="str">
        <f>VLOOKUP(AC7,'Name List'!$C$2:$F$98,2,FALSE)</f>
        <v>gpf;`;</v>
      </c>
      <c r="T7" s="50">
        <f>VLOOKUP(AD7,'Name List'!$C$8:$F$102,4,FALSE)</f>
        <v>41</v>
      </c>
      <c r="U7" s="49" t="str">
        <f>VLOOKUP(AD7,'Name List'!$C$2:$F$98,2,FALSE)</f>
        <v>,yf;fzk;</v>
      </c>
      <c r="V7" s="51" t="s">
        <v>134</v>
      </c>
      <c r="W7" s="52">
        <v>50</v>
      </c>
      <c r="X7" s="52">
        <v>17</v>
      </c>
      <c r="Y7" s="52">
        <v>91</v>
      </c>
      <c r="Z7" s="52">
        <v>44</v>
      </c>
      <c r="AA7" s="52">
        <v>87</v>
      </c>
      <c r="AB7" s="52">
        <v>68</v>
      </c>
      <c r="AC7" s="52">
        <v>28</v>
      </c>
      <c r="AD7" s="52">
        <v>56</v>
      </c>
      <c r="AE7" s="53"/>
      <c r="AG7" s="52">
        <v>87</v>
      </c>
      <c r="AH7" s="52">
        <v>86</v>
      </c>
      <c r="AI7" s="52">
        <v>44</v>
      </c>
      <c r="AJ7" s="52">
        <v>67</v>
      </c>
      <c r="AK7" s="52">
        <v>56</v>
      </c>
      <c r="AL7" s="52">
        <v>17</v>
      </c>
      <c r="AM7" s="52">
        <v>3</v>
      </c>
      <c r="AN7" s="52">
        <v>28</v>
      </c>
      <c r="AO7" s="53"/>
    </row>
    <row r="8" spans="1:41" ht="63.75" customHeight="1">
      <c r="A8" s="48">
        <f>VLOOKUP(W8,'Name List'!$C$2:$F$98,4,FALSE)</f>
        <v>46</v>
      </c>
      <c r="B8" s="57" t="str">
        <f>VLOOKUP(W8,'Name List'!$C$2:$F$98,2,FALSE)</f>
        <v>cUJg; ghi\</v>
      </c>
      <c r="C8" s="58">
        <f>VLOOKUP(X8,'Name List'!$C$2:$F$98,4,FALSE)</f>
        <v>39</v>
      </c>
      <c r="D8" s="57" t="str">
        <f>VLOOKUP(X8,'Name List'!$C$2:$F$98,2,FALSE)</f>
        <v>m`;yhf;</v>
      </c>
      <c r="E8" s="48">
        <f>VLOOKUP(Y8,'Name List'!$C$2:$F$98,4,FALSE)</f>
        <v>39</v>
      </c>
      <c r="F8" s="57" t="str">
        <f>VLOOKUP(Y8,'Name List'!$C$2:$F$98,2,FALSE)</f>
        <v>my;Fu;Md; kddk;</v>
      </c>
      <c r="G8" s="45"/>
      <c r="H8" s="45"/>
      <c r="I8" s="48">
        <f>VLOOKUP(Z8,'Name List'!$C$2:$F$98,4,FALSE)</f>
        <v>31</v>
      </c>
      <c r="J8" s="57" t="str">
        <f>VLOOKUP(Z8,'Name List'!$C$2:$F$98,2,FALSE)</f>
        <v>gpf;`;</v>
      </c>
      <c r="K8" s="48">
        <f>VLOOKUP(AA8,'Name List'!$C$2:$F$98,4,FALSE)</f>
        <v>46</v>
      </c>
      <c r="L8" s="57" t="str">
        <f>VLOOKUP(AA8,'Name List'!$C$2:$F$98,2,FALSE)</f>
        <v>,yf;fzk;</v>
      </c>
      <c r="M8" s="45"/>
      <c r="N8" s="45"/>
      <c r="O8" s="45"/>
      <c r="P8" s="48">
        <f>VLOOKUP(AB8,'Name List'!$C$2:$F$98,4,FALSE)</f>
        <v>46</v>
      </c>
      <c r="Q8" s="57" t="str">
        <f>VLOOKUP(AB8,'Name List'!$C$2:$F$98,2,FALSE)</f>
        <v>muGg; ghi\ (,d;\h)</v>
      </c>
      <c r="R8" s="48">
        <f>VLOOKUP(AC8,'Name List'!$C$2:$F$98,4,FALSE)</f>
        <v>39</v>
      </c>
      <c r="S8" s="57" t="str">
        <f>VLOOKUP(AC8,'Name List'!$C$2:$F$98,2,FALSE)</f>
        <v>c]{Yj; jg;]Pu;</v>
      </c>
      <c r="T8" s="48">
        <f>VLOOKUP(AD8,'Name List'!$C$11:$F$105,4,FALSE)</f>
        <v>46</v>
      </c>
      <c r="U8" s="57" t="str">
        <f>VLOOKUP(AD8,'Name List'!$C$2:$F$98,2,FALSE)</f>
        <v>c]{Yy; `jP];</v>
      </c>
      <c r="V8" s="51" t="s">
        <v>135</v>
      </c>
      <c r="W8" s="52">
        <v>88</v>
      </c>
      <c r="X8" s="52">
        <v>51</v>
      </c>
      <c r="Y8" s="52">
        <v>4</v>
      </c>
      <c r="Z8" s="52">
        <v>29</v>
      </c>
      <c r="AA8" s="52">
        <v>57</v>
      </c>
      <c r="AB8" s="52">
        <v>69</v>
      </c>
      <c r="AC8" s="52">
        <v>12</v>
      </c>
      <c r="AD8" s="52">
        <v>22</v>
      </c>
      <c r="AE8" s="53"/>
      <c r="AG8" s="52">
        <v>51</v>
      </c>
      <c r="AH8" s="52">
        <v>37</v>
      </c>
      <c r="AI8" s="52">
        <v>88</v>
      </c>
      <c r="AJ8" s="52">
        <v>12</v>
      </c>
      <c r="AK8" s="52">
        <v>22</v>
      </c>
      <c r="AL8" s="52">
        <v>29</v>
      </c>
      <c r="AM8" s="52">
        <v>69</v>
      </c>
      <c r="AN8" s="52">
        <v>57</v>
      </c>
      <c r="AO8" s="53"/>
    </row>
    <row r="9" spans="1:41" ht="63.75" customHeight="1">
      <c r="A9" s="50">
        <f>VLOOKUP(W9,'Name List'!$C$2:$F$98,4,FALSE)</f>
        <v>39</v>
      </c>
      <c r="B9" s="49" t="str">
        <f>VLOOKUP(W9,'Name List'!$C$2:$F$98,2,FALSE)</f>
        <v>nrhw;Nfhu;g;Gf; fiy</v>
      </c>
      <c r="C9" s="54">
        <f>VLOOKUP(X9,'Name List'!$C$2:$F$98,4,FALSE)</f>
        <v>36</v>
      </c>
      <c r="D9" s="49" t="str">
        <f>VLOOKUP(X9,'Name List'!$C$2:$F$98,2,FALSE)</f>
        <v>m`;yhf;</v>
      </c>
      <c r="E9" s="50">
        <f>VLOOKUP(Y9,'Name List'!$C$2:$F$98,4,FALSE)</f>
        <v>28</v>
      </c>
      <c r="F9" s="49" t="str">
        <f>VLOOKUP(Y9,'Name List'!$C$2:$F$98,2,FALSE)</f>
        <v>c]{Yy; gpf;`;</v>
      </c>
      <c r="G9" s="45"/>
      <c r="H9" s="45"/>
      <c r="I9" s="50">
        <f>VLOOKUP(Z9,'Name List'!$C$2:$F$98,4,FALSE)</f>
        <v>46</v>
      </c>
      <c r="J9" s="49" t="str">
        <f>VLOOKUP(Z9,'Name List'!$C$2:$F$98,2,FALSE)</f>
        <v>,yf;fpak;</v>
      </c>
      <c r="K9" s="50">
        <f>VLOOKUP(AA9,'Name List'!$C$2:$F$98,4,FALSE)</f>
        <v>39</v>
      </c>
      <c r="L9" s="49" t="str">
        <f>VLOOKUP(AA9,'Name List'!$C$2:$F$98,2,FALSE)</f>
        <v>muGg; ghi\ (,d;\h)</v>
      </c>
      <c r="M9" s="45"/>
      <c r="N9" s="45"/>
      <c r="O9" s="45"/>
      <c r="P9" s="50">
        <f>VLOOKUP(AB9,'Name List'!$C$2:$F$98,4,FALSE)</f>
        <v>26</v>
      </c>
      <c r="Q9" s="49" t="str">
        <f>VLOOKUP(AB9,'Name List'!$C$2:$F$98,2,FALSE)</f>
        <v>,yf;fzk;</v>
      </c>
      <c r="R9" s="50">
        <f>VLOOKUP(AC9,'Name List'!$C$2:$F$98,4,FALSE)</f>
        <v>36</v>
      </c>
      <c r="S9" s="49" t="str">
        <f>VLOOKUP(AC9,'Name List'!$C$2:$F$98,2,FALSE)</f>
        <v>c]{Yy; `jP];</v>
      </c>
      <c r="T9" s="50">
        <f>VLOOKUP(AD9,'Name List'!$C$15:$F$108,4,FALSE)</f>
        <v>28</v>
      </c>
      <c r="U9" s="49" t="str">
        <f>VLOOKUP(AD9,'Name List'!$C$2:$F$98,2,FALSE)</f>
        <v>c]{Yj; jg;]Pu;</v>
      </c>
      <c r="V9" s="51" t="s">
        <v>136</v>
      </c>
      <c r="W9" s="56">
        <v>76</v>
      </c>
      <c r="X9" s="56">
        <v>52</v>
      </c>
      <c r="Y9" s="56">
        <v>33</v>
      </c>
      <c r="Z9" s="56">
        <v>73</v>
      </c>
      <c r="AA9" s="56">
        <v>70</v>
      </c>
      <c r="AB9" s="56">
        <v>58</v>
      </c>
      <c r="AC9" s="56">
        <v>23</v>
      </c>
      <c r="AD9" s="56">
        <v>13</v>
      </c>
      <c r="AE9" s="53"/>
      <c r="AG9" s="56">
        <v>41</v>
      </c>
      <c r="AH9" s="56">
        <v>52</v>
      </c>
      <c r="AI9" s="56">
        <v>76</v>
      </c>
      <c r="AJ9" s="56">
        <v>23</v>
      </c>
      <c r="AK9" s="56">
        <v>33</v>
      </c>
      <c r="AL9" s="56">
        <v>70</v>
      </c>
      <c r="AM9" s="56">
        <v>58</v>
      </c>
      <c r="AN9" s="56">
        <v>13</v>
      </c>
      <c r="AO9" s="53"/>
    </row>
    <row r="10" spans="1:41" ht="63.75" customHeight="1">
      <c r="A10" s="50">
        <f>VLOOKUP(W10,'Name List'!$C$2:$F$98,4,FALSE)</f>
        <v>38</v>
      </c>
      <c r="B10" s="49" t="str">
        <f>VLOOKUP(W10,'Name List'!$C$2:$F$98,2,FALSE)</f>
        <v>ghfg; gpuptpid</v>
      </c>
      <c r="C10" s="54">
        <f>VLOOKUP(X10,'Name List'!$C$2:$F$98,4,FALSE)</f>
        <v>31</v>
      </c>
      <c r="D10" s="49" t="str">
        <f>VLOOKUP(X10,'Name List'!$C$2:$F$98,2,FALSE)</f>
        <v>kd;jpf;</v>
      </c>
      <c r="E10" s="50">
        <f>VLOOKUP(Y10,'Name List'!$C$2:$F$98,4,FALSE)</f>
        <v>26</v>
      </c>
      <c r="F10" s="49" t="str">
        <f>VLOOKUP(Y10,'Name List'!$C$2:$F$98,2,FALSE)</f>
        <v>,yf;fzk;</v>
      </c>
      <c r="G10" s="45"/>
      <c r="H10" s="45"/>
      <c r="I10" s="50">
        <f>VLOOKUP(Z10,'Name List'!$C$2:$F$98,4,FALSE)</f>
        <v>36</v>
      </c>
      <c r="J10" s="49" t="str">
        <f>VLOOKUP(Z10,'Name List'!$C$2:$F$98,2,FALSE)</f>
        <v>tuyhW</v>
      </c>
      <c r="K10" s="50">
        <f>VLOOKUP(AA10,'Name List'!$C$2:$F$98,4,FALSE)</f>
        <v>26</v>
      </c>
      <c r="L10" s="49" t="str">
        <f>VLOOKUP(AA10,'Name List'!$C$2:$F$98,2,FALSE)</f>
        <v>c]{Yy; gpf;`;</v>
      </c>
      <c r="M10" s="45"/>
      <c r="N10" s="45"/>
      <c r="O10" s="45"/>
      <c r="P10" s="50">
        <f>VLOOKUP(AB10,'Name List'!$C$2:$F$98,4,FALSE)</f>
        <v>36</v>
      </c>
      <c r="Q10" s="49" t="str">
        <f>VLOOKUP(AB10,'Name List'!$C$2:$F$98,2,FALSE)</f>
        <v>c]{Yj; jg;]Pu;</v>
      </c>
      <c r="R10" s="50">
        <f>VLOOKUP(AC10,'Name List'!$C$2:$F$98,4,FALSE)</f>
        <v>31</v>
      </c>
      <c r="S10" s="49" t="str">
        <f>VLOOKUP(AC10,'Name List'!$C$2:$F$98,2,FALSE)</f>
        <v>,yf;fpak;</v>
      </c>
      <c r="T10" s="50">
        <f>VLOOKUP(AD10,'Name List'!$C$15:$F$108,4,FALSE)</f>
        <v>39</v>
      </c>
      <c r="U10" s="49" t="str">
        <f>VLOOKUP(AD10,'Name List'!$C$2:$F$98,2,FALSE)</f>
        <v>nrhw;Nfhu;g;Gf; fiy</v>
      </c>
      <c r="V10" s="51" t="s">
        <v>137</v>
      </c>
      <c r="W10" s="56">
        <v>42</v>
      </c>
      <c r="X10" s="56">
        <v>79</v>
      </c>
      <c r="Y10" s="56">
        <v>59</v>
      </c>
      <c r="Z10" s="56">
        <v>47</v>
      </c>
      <c r="AA10" s="56">
        <v>34</v>
      </c>
      <c r="AB10" s="56">
        <v>14</v>
      </c>
      <c r="AC10" s="56">
        <v>74</v>
      </c>
      <c r="AD10" s="56">
        <v>77</v>
      </c>
      <c r="AE10" s="53"/>
      <c r="AG10" s="56"/>
      <c r="AH10" s="56"/>
      <c r="AI10" s="56"/>
      <c r="AJ10" s="56"/>
      <c r="AK10" s="56"/>
      <c r="AL10" s="56"/>
      <c r="AM10" s="56"/>
      <c r="AN10" s="56"/>
      <c r="AO10" s="53"/>
    </row>
    <row r="11" spans="1:41" ht="63.75" customHeight="1">
      <c r="A11" s="59">
        <f>VLOOKUP(W11,'Name List'!$C$2:$F$98,4,FALSE)</f>
        <v>28</v>
      </c>
      <c r="B11" s="60" t="str">
        <f>VLOOKUP(W11,'Name List'!$C$2:$F$98,2,FALSE)</f>
        <v>c]{Yj; jg;]Pu;</v>
      </c>
      <c r="C11" s="61">
        <f>VLOOKUP(X11,'Name List'!$C$2:$F$98,4,FALSE)</f>
        <v>31</v>
      </c>
      <c r="D11" s="60" t="str">
        <f>VLOOKUP(X11,'Name List'!$C$2:$F$98,2,FALSE)</f>
        <v>,yf;fpak;</v>
      </c>
      <c r="E11" s="59">
        <f>VLOOKUP(Y11,'Name List'!$C$2:$F$98,4,FALSE)</f>
        <v>31</v>
      </c>
      <c r="F11" s="60" t="str">
        <f>VLOOKUP(Y11,'Name List'!$C$2:$F$98,2,FALSE)</f>
        <v>mfPjh</v>
      </c>
      <c r="G11" s="62"/>
      <c r="H11" s="62"/>
      <c r="I11" s="59">
        <f>VLOOKUP(Z11,'Name List'!$C$2:$F$98,4,FALSE)</f>
        <v>26</v>
      </c>
      <c r="J11" s="60" t="str">
        <f>VLOOKUP(Z11,'Name List'!$C$2:$F$98,2,FALSE)</f>
        <v>,yf;fzk;</v>
      </c>
      <c r="K11" s="59">
        <f>VLOOKUP(AA11,'Name List'!$C$2:$F$98,4,FALSE)</f>
        <v>28</v>
      </c>
      <c r="L11" s="60" t="str">
        <f>VLOOKUP(AA11,'Name List'!$C$2:$F$98,2,FALSE)</f>
        <v>nrhw;Nfhu;g;Gf; fiy</v>
      </c>
      <c r="M11" s="62"/>
      <c r="N11" s="62"/>
      <c r="O11" s="62"/>
      <c r="P11" s="59">
        <f>VLOOKUP(AB11,'Name List'!$C$2:$F$98,4,FALSE)</f>
        <v>41</v>
      </c>
      <c r="Q11" s="60" t="str">
        <f>VLOOKUP(AB11,'Name List'!$C$2:$F$98,2,FALSE)</f>
        <v>c]{Yy; `jP];</v>
      </c>
      <c r="R11" s="59">
        <f>VLOOKUP(AC11,'Name List'!$C$2:$F$98,4,FALSE)</f>
        <v>41</v>
      </c>
      <c r="S11" s="60" t="str">
        <f>VLOOKUP(AC11,'Name List'!$C$2:$F$98,2,FALSE)</f>
        <v>my;Fu;Md; kddk;</v>
      </c>
      <c r="T11" s="59">
        <f>VLOOKUP(AD11,'Name List'!$C$18:$F$111,4,FALSE)</f>
        <v>31</v>
      </c>
      <c r="U11" s="60" t="str">
        <f>VLOOKUP(AD11,'Name List'!$C$2:$F$98,2,FALSE)</f>
        <v>c]{Yy; gpf;`;</v>
      </c>
      <c r="V11" s="51" t="s">
        <v>138</v>
      </c>
      <c r="W11" s="52">
        <v>15</v>
      </c>
      <c r="X11" s="52">
        <v>75</v>
      </c>
      <c r="Y11" s="52">
        <v>40</v>
      </c>
      <c r="Z11" s="52">
        <v>60</v>
      </c>
      <c r="AA11" s="52">
        <v>78</v>
      </c>
      <c r="AB11" s="52">
        <v>25</v>
      </c>
      <c r="AC11" s="52">
        <v>7</v>
      </c>
      <c r="AD11" s="52">
        <v>35</v>
      </c>
      <c r="AE11" s="53"/>
      <c r="AG11" s="52">
        <v>40</v>
      </c>
      <c r="AH11" s="52">
        <v>80</v>
      </c>
      <c r="AI11" s="52">
        <v>48</v>
      </c>
      <c r="AJ11" s="52">
        <v>78</v>
      </c>
      <c r="AK11" s="52">
        <v>25</v>
      </c>
      <c r="AL11" s="52">
        <v>35</v>
      </c>
      <c r="AM11" s="52">
        <v>60</v>
      </c>
      <c r="AN11" s="52">
        <v>15</v>
      </c>
      <c r="AO11" s="53"/>
    </row>
    <row r="12" spans="1:41" ht="42.75" customHeight="1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</row>
    <row r="13" spans="1:41" ht="33" customHeight="1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</row>
    <row r="14" spans="1:41" ht="27" customHeight="1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</row>
    <row r="15" spans="1:41" ht="21" customHeight="1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</row>
    <row r="16" spans="1:41" ht="70.5" customHeight="1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</row>
    <row r="17" s="28" customFormat="1" ht="70.5" customHeight="1"/>
    <row r="18" s="28" customFormat="1" ht="70.5" customHeight="1"/>
    <row r="19" s="28" customFormat="1" ht="70.5" customHeight="1"/>
    <row r="20" s="28" customFormat="1" ht="70.5" customHeight="1"/>
    <row r="21" s="28" customFormat="1" ht="70.5" customHeight="1"/>
    <row r="22" s="28" customFormat="1" ht="42.75" customHeight="1"/>
    <row r="23" s="28" customFormat="1" ht="33" customHeight="1"/>
    <row r="24" s="28" customFormat="1" ht="27" customHeight="1"/>
    <row r="25" s="28" customFormat="1" ht="21" customHeight="1"/>
    <row r="26" s="28" customFormat="1" ht="70.5" customHeight="1"/>
    <row r="27" s="28" customFormat="1" ht="70.5" customHeight="1"/>
    <row r="28" s="28" customFormat="1" ht="70.5" customHeight="1"/>
    <row r="29" s="28" customFormat="1" ht="70.5" customHeight="1"/>
    <row r="30" s="28" customFormat="1" ht="70.5" customHeight="1"/>
    <row r="31" s="28" customFormat="1" ht="70.5" customHeight="1"/>
    <row r="32" s="28" customFormat="1" ht="70.5" customHeight="1"/>
    <row r="33" s="28" customFormat="1" ht="42.75" customHeight="1"/>
    <row r="34" s="28" customFormat="1" ht="31.5" customHeight="1"/>
    <row r="35" s="28" customFormat="1" ht="24.75" customHeight="1"/>
    <row r="36" s="28" customFormat="1" ht="31.5" customHeight="1"/>
    <row r="37" s="28" customFormat="1" ht="22.5" customHeight="1"/>
    <row r="38" s="28" customFormat="1" ht="31.5" customHeight="1"/>
    <row r="39" s="28" customFormat="1" ht="26.25" customHeight="1"/>
    <row r="40" s="28" customFormat="1" ht="31.5" customHeight="1"/>
    <row r="41" s="28" customFormat="1" ht="26.25" customHeight="1"/>
    <row r="42" s="28" customFormat="1" ht="31.5" customHeight="1"/>
    <row r="43" s="28" customFormat="1" ht="26.25" customHeight="1"/>
    <row r="44" s="28" customFormat="1" ht="31.5" customHeight="1"/>
    <row r="45" s="28" customFormat="1" ht="24.75" customHeight="1"/>
    <row r="46" s="28" customFormat="1" ht="27.75" customHeight="1"/>
    <row r="47" s="28" customFormat="1" ht="41.25" customHeight="1"/>
    <row r="48" s="28" customFormat="1" ht="33" customHeight="1"/>
    <row r="49" s="28" customFormat="1" ht="45" customHeight="1"/>
    <row r="50" s="28" customFormat="1" ht="42.75" customHeight="1"/>
    <row r="51" s="28" customFormat="1" ht="31.5" customHeight="1"/>
    <row r="52" s="28" customFormat="1" ht="24.75" customHeight="1"/>
    <row r="53" s="28" customFormat="1" ht="31.5" customHeight="1"/>
    <row r="54" s="28" customFormat="1" ht="22.5" customHeight="1"/>
    <row r="55" s="28" customFormat="1" ht="31.5" customHeight="1"/>
    <row r="56" s="28" customFormat="1" ht="26.25" customHeight="1"/>
    <row r="57" s="28" customFormat="1" ht="31.5" customHeight="1"/>
    <row r="58" s="28" customFormat="1" ht="26.25" customHeight="1"/>
    <row r="59" s="28" customFormat="1" ht="31.5" customHeight="1"/>
    <row r="60" s="28" customFormat="1" ht="26.25" customHeight="1"/>
    <row r="61" s="28" customFormat="1" ht="31.5" customHeight="1"/>
    <row r="62" s="28" customFormat="1" ht="24.75" customHeight="1"/>
    <row r="63" s="28" customFormat="1" ht="30" customHeight="1"/>
    <row r="64" s="28" customFormat="1" ht="41.25" customHeight="1"/>
    <row r="65" s="28" customFormat="1" ht="33" customHeight="1"/>
    <row r="66" s="28" customFormat="1" ht="45" customHeight="1"/>
    <row r="67" s="28" customFormat="1" ht="42.75" customHeight="1"/>
    <row r="68" s="28" customFormat="1" ht="31.5" customHeight="1"/>
    <row r="69" s="28" customFormat="1" ht="24.75" customHeight="1"/>
    <row r="70" s="28" customFormat="1" ht="31.5" customHeight="1"/>
    <row r="71" s="28" customFormat="1" ht="22.5" customHeight="1"/>
    <row r="72" s="28" customFormat="1" ht="31.5" customHeight="1"/>
    <row r="73" s="28" customFormat="1" ht="26.25" customHeight="1"/>
    <row r="74" s="28" customFormat="1" ht="31.5" customHeight="1"/>
    <row r="75" s="28" customFormat="1" ht="26.25" customHeight="1"/>
    <row r="76" s="28" customFormat="1" ht="31.5" customHeight="1"/>
    <row r="77" s="28" customFormat="1" ht="26.25" customHeight="1"/>
    <row r="78" s="28" customFormat="1" ht="31.5" customHeight="1"/>
    <row r="79" s="28" customFormat="1" ht="24.75" customHeight="1"/>
    <row r="80" s="28" customFormat="1" ht="29.25" customHeight="1"/>
    <row r="81" spans="1:22" ht="41.2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</row>
    <row r="82" spans="1:22" ht="33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</row>
    <row r="83" spans="1:22" ht="4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</row>
    <row r="84" spans="1:22" ht="42.7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</row>
    <row r="85" spans="1:22" ht="31.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</row>
    <row r="86" spans="1:22" ht="24.7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</row>
    <row r="87" spans="1:22" ht="31.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</row>
    <row r="88" spans="1:22" ht="22.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</row>
    <row r="89" spans="1:22" ht="31.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</row>
    <row r="90" spans="1:22" ht="26.2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</row>
    <row r="91" spans="1:22" ht="31.5" customHeight="1"/>
    <row r="92" spans="1:22" ht="26.25" customHeight="1"/>
    <row r="93" spans="1:22" ht="31.5" customHeight="1"/>
    <row r="94" spans="1:22" ht="26.25" customHeight="1"/>
    <row r="95" spans="1:22" ht="31.5" customHeight="1"/>
    <row r="96" spans="1:22" ht="24.75" customHeight="1"/>
    <row r="97" ht="32.25" customHeight="1"/>
  </sheetData>
  <mergeCells count="24">
    <mergeCell ref="A1:U1"/>
    <mergeCell ref="N3:N11"/>
    <mergeCell ref="O3:O11"/>
    <mergeCell ref="P3:Q3"/>
    <mergeCell ref="R3:S3"/>
    <mergeCell ref="T3:U3"/>
    <mergeCell ref="P4:Q4"/>
    <mergeCell ref="R4:S4"/>
    <mergeCell ref="A2:V2"/>
    <mergeCell ref="A3:B3"/>
    <mergeCell ref="C3:D3"/>
    <mergeCell ref="E3:F3"/>
    <mergeCell ref="G3:G11"/>
    <mergeCell ref="H3:H11"/>
    <mergeCell ref="I3:J3"/>
    <mergeCell ref="K3:L3"/>
    <mergeCell ref="V3:V4"/>
    <mergeCell ref="T4:U4"/>
    <mergeCell ref="M3:M11"/>
    <mergeCell ref="A4:B4"/>
    <mergeCell ref="C4:D4"/>
    <mergeCell ref="E4:F4"/>
    <mergeCell ref="I4:J4"/>
    <mergeCell ref="K4:L4"/>
  </mergeCells>
  <conditionalFormatting sqref="V3 V5:V11">
    <cfRule type="cellIs" dxfId="1" priority="1" operator="equal">
      <formula>41</formula>
    </cfRule>
  </conditionalFormatting>
  <pageMargins left="0.26785714285714302" right="0.223214285714286" top="0.4" bottom="4.4117647000000003E-2" header="0.3" footer="0.3"/>
  <pageSetup paperSize="9" orientation="landscape" horizontalDpi="4294967293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B1:N98"/>
  <sheetViews>
    <sheetView tabSelected="1" topLeftCell="A47" zoomScaleNormal="100" workbookViewId="0">
      <selection activeCell="L19" sqref="L19"/>
    </sheetView>
  </sheetViews>
  <sheetFormatPr defaultRowHeight="14.4"/>
  <cols>
    <col min="2" max="2" width="5.33203125" customWidth="1"/>
    <col min="3" max="3" width="6.44140625" customWidth="1"/>
    <col min="4" max="4" width="18" style="28" customWidth="1"/>
    <col min="5" max="5" width="21.33203125" style="28" customWidth="1"/>
    <col min="6" max="6" width="7.5546875" customWidth="1"/>
    <col min="7" max="7" width="8" customWidth="1"/>
    <col min="8" max="8" width="4.6640625" customWidth="1"/>
    <col min="9" max="9" width="30.44140625" customWidth="1"/>
    <col min="10" max="10" width="31.6640625" customWidth="1"/>
    <col min="11" max="11" width="4" customWidth="1"/>
    <col min="12" max="12" width="18.88671875" customWidth="1"/>
    <col min="14" max="14" width="20.33203125" customWidth="1"/>
  </cols>
  <sheetData>
    <row r="1" spans="2:14" s="7" customFormat="1" ht="29.25" customHeight="1">
      <c r="B1" s="15" t="s">
        <v>85</v>
      </c>
      <c r="C1" s="9" t="s">
        <v>83</v>
      </c>
      <c r="D1" s="163"/>
      <c r="E1" s="166" t="s">
        <v>82</v>
      </c>
      <c r="F1" s="9" t="s">
        <v>84</v>
      </c>
      <c r="I1" s="163"/>
      <c r="N1" s="8" t="s">
        <v>82</v>
      </c>
    </row>
    <row r="2" spans="2:14" ht="15.75" customHeight="1">
      <c r="B2" s="23">
        <v>1</v>
      </c>
      <c r="C2" s="10">
        <v>1</v>
      </c>
      <c r="D2" s="165" t="s">
        <v>4</v>
      </c>
      <c r="E2" s="165" t="s">
        <v>4</v>
      </c>
      <c r="F2" s="16">
        <v>36</v>
      </c>
      <c r="H2" s="18">
        <v>2</v>
      </c>
      <c r="I2" s="164" t="s">
        <v>33</v>
      </c>
      <c r="J2" s="1" t="s">
        <v>34</v>
      </c>
      <c r="K2" s="4">
        <f>H2</f>
        <v>2</v>
      </c>
      <c r="L2" s="3" t="s">
        <v>60</v>
      </c>
      <c r="N2" s="11" t="s">
        <v>3</v>
      </c>
    </row>
    <row r="3" spans="2:14" ht="15.75" customHeight="1">
      <c r="B3" s="23">
        <v>1</v>
      </c>
      <c r="C3" s="13">
        <v>26</v>
      </c>
      <c r="D3" s="165" t="s">
        <v>9</v>
      </c>
      <c r="E3" s="165" t="s">
        <v>9</v>
      </c>
      <c r="F3" s="17">
        <v>44</v>
      </c>
      <c r="H3" s="18">
        <v>1</v>
      </c>
      <c r="I3" s="164" t="s">
        <v>35</v>
      </c>
      <c r="J3" s="1" t="s">
        <v>36</v>
      </c>
      <c r="K3" s="4">
        <f t="shared" ref="K3:K11" si="0">H3</f>
        <v>1</v>
      </c>
      <c r="L3" s="3" t="s">
        <v>61</v>
      </c>
      <c r="N3" s="11" t="s">
        <v>102</v>
      </c>
    </row>
    <row r="4" spans="2:14" ht="15.75" customHeight="1">
      <c r="B4" s="23">
        <v>1</v>
      </c>
      <c r="C4" s="13">
        <v>61</v>
      </c>
      <c r="D4" s="165" t="s">
        <v>104</v>
      </c>
      <c r="E4" s="165" t="s">
        <v>104</v>
      </c>
      <c r="F4" s="17">
        <v>26</v>
      </c>
      <c r="H4" s="18">
        <v>3</v>
      </c>
      <c r="I4" s="164" t="s">
        <v>37</v>
      </c>
      <c r="J4" s="1" t="s">
        <v>38</v>
      </c>
      <c r="K4" s="4">
        <f t="shared" si="0"/>
        <v>3</v>
      </c>
      <c r="L4" s="3" t="s">
        <v>73</v>
      </c>
      <c r="N4" s="11" t="s">
        <v>103</v>
      </c>
    </row>
    <row r="5" spans="2:14" ht="15.75" customHeight="1">
      <c r="B5" s="23">
        <v>1</v>
      </c>
      <c r="C5" s="10">
        <v>63</v>
      </c>
      <c r="D5" s="165" t="s">
        <v>20</v>
      </c>
      <c r="E5" s="165" t="s">
        <v>20</v>
      </c>
      <c r="F5" s="17">
        <v>31</v>
      </c>
      <c r="H5" s="18">
        <v>4</v>
      </c>
      <c r="I5" s="164" t="s">
        <v>39</v>
      </c>
      <c r="J5" s="1" t="s">
        <v>40</v>
      </c>
      <c r="K5" s="4">
        <f t="shared" si="0"/>
        <v>4</v>
      </c>
      <c r="L5" s="3" t="s">
        <v>62</v>
      </c>
      <c r="N5" s="14" t="s">
        <v>105</v>
      </c>
    </row>
    <row r="6" spans="2:14" ht="15.75" customHeight="1">
      <c r="B6" s="23">
        <v>1</v>
      </c>
      <c r="C6" s="13">
        <v>64</v>
      </c>
      <c r="D6" s="165" t="s">
        <v>21</v>
      </c>
      <c r="E6" s="165" t="s">
        <v>148</v>
      </c>
      <c r="F6" s="17">
        <v>41</v>
      </c>
      <c r="H6" s="18">
        <v>5</v>
      </c>
      <c r="I6" s="164" t="s">
        <v>41</v>
      </c>
      <c r="J6" s="1" t="s">
        <v>42</v>
      </c>
      <c r="K6" s="4">
        <f t="shared" si="0"/>
        <v>5</v>
      </c>
      <c r="L6" s="3" t="s">
        <v>65</v>
      </c>
      <c r="N6" s="14" t="s">
        <v>106</v>
      </c>
    </row>
    <row r="7" spans="2:14" ht="15.75" customHeight="1">
      <c r="B7" s="23">
        <v>1</v>
      </c>
      <c r="C7" s="13">
        <v>84</v>
      </c>
      <c r="D7" s="165" t="s">
        <v>28</v>
      </c>
      <c r="E7" s="165" t="s">
        <v>28</v>
      </c>
      <c r="F7" s="17">
        <v>36</v>
      </c>
      <c r="H7" s="18">
        <v>6</v>
      </c>
      <c r="I7" s="164" t="s">
        <v>43</v>
      </c>
      <c r="J7" s="1" t="s">
        <v>44</v>
      </c>
      <c r="K7" s="4">
        <f t="shared" si="0"/>
        <v>6</v>
      </c>
      <c r="L7" s="3" t="s">
        <v>63</v>
      </c>
      <c r="N7" s="20" t="s">
        <v>107</v>
      </c>
    </row>
    <row r="8" spans="2:14" ht="15.75" customHeight="1">
      <c r="B8" s="23">
        <v>1</v>
      </c>
      <c r="C8" s="10">
        <v>95</v>
      </c>
      <c r="D8" s="165" t="s">
        <v>109</v>
      </c>
      <c r="E8" s="165" t="s">
        <v>109</v>
      </c>
      <c r="F8" s="17">
        <v>28</v>
      </c>
      <c r="H8" s="18">
        <v>7</v>
      </c>
      <c r="I8" s="164" t="s">
        <v>45</v>
      </c>
      <c r="J8" s="1" t="s">
        <v>129</v>
      </c>
      <c r="K8" s="4">
        <f t="shared" si="0"/>
        <v>7</v>
      </c>
      <c r="L8" s="3" t="s">
        <v>72</v>
      </c>
      <c r="N8" s="20" t="s">
        <v>108</v>
      </c>
    </row>
    <row r="9" spans="2:14" ht="15.75" customHeight="1">
      <c r="B9" s="23">
        <v>1</v>
      </c>
      <c r="C9" s="10">
        <v>89</v>
      </c>
      <c r="D9" s="165" t="s">
        <v>32</v>
      </c>
      <c r="E9" s="165" t="s">
        <v>32</v>
      </c>
      <c r="F9" s="17">
        <v>28</v>
      </c>
      <c r="H9" s="18">
        <v>8</v>
      </c>
      <c r="I9" s="164" t="s">
        <v>46</v>
      </c>
      <c r="J9" s="1" t="s">
        <v>47</v>
      </c>
      <c r="K9" s="4">
        <f t="shared" si="0"/>
        <v>8</v>
      </c>
      <c r="L9" s="3" t="s">
        <v>67</v>
      </c>
      <c r="N9" s="21" t="s">
        <v>31</v>
      </c>
    </row>
    <row r="10" spans="2:14" ht="15.75" customHeight="1">
      <c r="B10" s="23">
        <v>1</v>
      </c>
      <c r="C10" s="13">
        <v>94</v>
      </c>
      <c r="D10" s="165" t="s">
        <v>111</v>
      </c>
      <c r="E10" s="165" t="s">
        <v>111</v>
      </c>
      <c r="F10" s="17">
        <v>26</v>
      </c>
      <c r="H10" s="18">
        <v>9</v>
      </c>
      <c r="I10" s="164" t="s">
        <v>48</v>
      </c>
      <c r="J10" s="1" t="s">
        <v>49</v>
      </c>
      <c r="K10" s="4">
        <f t="shared" si="0"/>
        <v>9</v>
      </c>
      <c r="L10" s="3" t="s">
        <v>68</v>
      </c>
      <c r="N10" s="11" t="s">
        <v>110</v>
      </c>
    </row>
    <row r="11" spans="2:14" ht="15.75" customHeight="1">
      <c r="B11" s="23">
        <v>1</v>
      </c>
      <c r="C11" s="10">
        <v>96</v>
      </c>
      <c r="D11" s="165" t="s">
        <v>18</v>
      </c>
      <c r="E11" s="165" t="s">
        <v>18</v>
      </c>
      <c r="F11" s="17">
        <v>39</v>
      </c>
      <c r="H11" s="18">
        <v>10</v>
      </c>
      <c r="I11" s="164" t="s">
        <v>50</v>
      </c>
      <c r="J11" s="1" t="s">
        <v>51</v>
      </c>
      <c r="K11" s="4">
        <f t="shared" si="0"/>
        <v>10</v>
      </c>
      <c r="L11" s="3" t="s">
        <v>64</v>
      </c>
      <c r="N11" s="11" t="s">
        <v>112</v>
      </c>
    </row>
    <row r="12" spans="2:14" ht="15.75" customHeight="1">
      <c r="B12" s="23">
        <v>1</v>
      </c>
      <c r="C12" s="10">
        <v>97</v>
      </c>
      <c r="D12" s="165" t="s">
        <v>157</v>
      </c>
      <c r="E12" s="165" t="s">
        <v>157</v>
      </c>
      <c r="F12" s="17">
        <v>36</v>
      </c>
      <c r="H12" s="18">
        <v>11</v>
      </c>
      <c r="I12" s="164" t="s">
        <v>52</v>
      </c>
      <c r="J12" s="1" t="s">
        <v>53</v>
      </c>
      <c r="K12" s="4">
        <f>H12</f>
        <v>11</v>
      </c>
      <c r="L12" s="3" t="s">
        <v>69</v>
      </c>
      <c r="N12" s="11" t="s">
        <v>130</v>
      </c>
    </row>
    <row r="13" spans="2:14" ht="15.75" customHeight="1">
      <c r="B13" s="23">
        <v>2</v>
      </c>
      <c r="C13" s="13">
        <v>2</v>
      </c>
      <c r="D13" s="165" t="s">
        <v>4</v>
      </c>
      <c r="E13" s="165" t="s">
        <v>4</v>
      </c>
      <c r="F13" s="12">
        <v>28</v>
      </c>
      <c r="H13" s="18">
        <v>12</v>
      </c>
      <c r="I13" s="164" t="s">
        <v>54</v>
      </c>
      <c r="J13" s="1" t="s">
        <v>55</v>
      </c>
      <c r="K13" s="4">
        <f>H13</f>
        <v>12</v>
      </c>
      <c r="L13" s="3" t="s">
        <v>66</v>
      </c>
      <c r="N13" s="11" t="s">
        <v>3</v>
      </c>
    </row>
    <row r="14" spans="2:14" ht="15.75" customHeight="1">
      <c r="B14" s="23">
        <v>2</v>
      </c>
      <c r="C14" s="13">
        <v>16</v>
      </c>
      <c r="D14" s="165" t="s">
        <v>7</v>
      </c>
      <c r="E14" s="165" t="s">
        <v>7</v>
      </c>
      <c r="F14" s="12">
        <v>44</v>
      </c>
      <c r="H14" s="18">
        <v>13</v>
      </c>
      <c r="I14" s="164" t="s">
        <v>56</v>
      </c>
      <c r="J14" s="1" t="s">
        <v>57</v>
      </c>
      <c r="K14" s="4">
        <f>H14</f>
        <v>13</v>
      </c>
      <c r="L14" s="3" t="s">
        <v>70</v>
      </c>
      <c r="N14" s="11" t="s">
        <v>113</v>
      </c>
    </row>
    <row r="15" spans="2:14" ht="15.75" customHeight="1">
      <c r="B15" s="23">
        <v>2</v>
      </c>
      <c r="C15" s="10">
        <v>27</v>
      </c>
      <c r="D15" s="165" t="s">
        <v>9</v>
      </c>
      <c r="E15" s="165" t="s">
        <v>9</v>
      </c>
      <c r="F15" s="12">
        <v>31</v>
      </c>
      <c r="H15" s="18">
        <v>14</v>
      </c>
      <c r="I15" s="164" t="s">
        <v>58</v>
      </c>
      <c r="J15" s="1" t="s">
        <v>59</v>
      </c>
      <c r="K15" s="4">
        <f>H15</f>
        <v>14</v>
      </c>
      <c r="L15" s="3" t="s">
        <v>71</v>
      </c>
      <c r="N15" s="11" t="s">
        <v>102</v>
      </c>
    </row>
    <row r="16" spans="2:14" ht="15.75" customHeight="1">
      <c r="B16" s="23">
        <v>2</v>
      </c>
      <c r="C16" s="13">
        <v>43</v>
      </c>
      <c r="D16" s="165" t="s">
        <v>14</v>
      </c>
      <c r="E16" s="165" t="s">
        <v>14</v>
      </c>
      <c r="F16" s="12">
        <v>44</v>
      </c>
      <c r="I16" s="28"/>
      <c r="N16" s="11" t="s">
        <v>13</v>
      </c>
    </row>
    <row r="17" spans="2:14" ht="15.75" customHeight="1">
      <c r="B17" s="23">
        <v>2</v>
      </c>
      <c r="C17" s="13">
        <v>49</v>
      </c>
      <c r="D17" s="165" t="s">
        <v>16</v>
      </c>
      <c r="E17" s="165" t="s">
        <v>16</v>
      </c>
      <c r="F17" s="12">
        <v>36</v>
      </c>
      <c r="N17" s="11" t="s">
        <v>15</v>
      </c>
    </row>
    <row r="18" spans="2:14" ht="15.75" customHeight="1">
      <c r="B18" s="23">
        <v>2</v>
      </c>
      <c r="C18" s="10">
        <v>55</v>
      </c>
      <c r="D18" s="165" t="s">
        <v>18</v>
      </c>
      <c r="E18" s="165" t="s">
        <v>18</v>
      </c>
      <c r="F18" s="12">
        <v>41</v>
      </c>
      <c r="N18" s="11" t="s">
        <v>112</v>
      </c>
    </row>
    <row r="19" spans="2:14" ht="15.75" customHeight="1">
      <c r="B19" s="23">
        <v>2</v>
      </c>
      <c r="C19" s="13">
        <v>62</v>
      </c>
      <c r="D19" s="165" t="s">
        <v>19</v>
      </c>
      <c r="E19" s="165" t="s">
        <v>19</v>
      </c>
      <c r="F19" s="12">
        <v>28</v>
      </c>
      <c r="I19" s="2" t="s">
        <v>60</v>
      </c>
      <c r="N19" s="11" t="s">
        <v>114</v>
      </c>
    </row>
    <row r="20" spans="2:14" ht="15.75" customHeight="1">
      <c r="B20" s="23">
        <v>2</v>
      </c>
      <c r="C20" s="13">
        <v>65</v>
      </c>
      <c r="D20" s="165" t="s">
        <v>20</v>
      </c>
      <c r="E20" s="165" t="s">
        <v>20</v>
      </c>
      <c r="F20" s="12">
        <v>46</v>
      </c>
      <c r="I20" s="2" t="s">
        <v>61</v>
      </c>
      <c r="N20" s="14" t="s">
        <v>105</v>
      </c>
    </row>
    <row r="21" spans="2:14" ht="15.75" customHeight="1">
      <c r="B21" s="23">
        <v>2</v>
      </c>
      <c r="C21" s="10">
        <v>66</v>
      </c>
      <c r="D21" s="165" t="s">
        <v>21</v>
      </c>
      <c r="E21" s="165" t="s">
        <v>148</v>
      </c>
      <c r="F21" s="12">
        <v>44</v>
      </c>
      <c r="I21" s="2" t="s">
        <v>73</v>
      </c>
      <c r="J21" s="24" t="s">
        <v>131</v>
      </c>
      <c r="N21" s="14" t="s">
        <v>106</v>
      </c>
    </row>
    <row r="22" spans="2:14" ht="15.75" customHeight="1">
      <c r="B22" s="23">
        <v>2</v>
      </c>
      <c r="C22" s="13">
        <v>85</v>
      </c>
      <c r="D22" s="165" t="s">
        <v>28</v>
      </c>
      <c r="E22" s="165" t="s">
        <v>28</v>
      </c>
      <c r="F22" s="12">
        <v>44</v>
      </c>
      <c r="I22" s="2" t="s">
        <v>62</v>
      </c>
      <c r="N22" s="11" t="s">
        <v>107</v>
      </c>
    </row>
    <row r="23" spans="2:14" ht="15.75" customHeight="1">
      <c r="B23" s="23">
        <v>2</v>
      </c>
      <c r="C23" s="13">
        <v>90</v>
      </c>
      <c r="D23" s="165" t="s">
        <v>32</v>
      </c>
      <c r="E23" s="165" t="s">
        <v>32</v>
      </c>
      <c r="F23" s="12">
        <v>28</v>
      </c>
      <c r="I23" s="2" t="s">
        <v>65</v>
      </c>
      <c r="N23" s="11" t="s">
        <v>31</v>
      </c>
    </row>
    <row r="24" spans="2:14" ht="15.75" customHeight="1">
      <c r="B24" s="23">
        <v>2</v>
      </c>
      <c r="C24" s="10">
        <v>92</v>
      </c>
      <c r="D24" s="165" t="s">
        <v>21</v>
      </c>
      <c r="E24" s="165" t="s">
        <v>21</v>
      </c>
      <c r="F24" s="12">
        <v>44</v>
      </c>
      <c r="I24" s="2" t="s">
        <v>63</v>
      </c>
      <c r="N24" s="14" t="s">
        <v>106</v>
      </c>
    </row>
    <row r="25" spans="2:14" ht="15.75" customHeight="1">
      <c r="B25" s="23">
        <v>3</v>
      </c>
      <c r="C25" s="13">
        <v>3</v>
      </c>
      <c r="D25" s="165" t="s">
        <v>4</v>
      </c>
      <c r="E25" s="165" t="s">
        <v>4</v>
      </c>
      <c r="F25" s="17">
        <v>41</v>
      </c>
      <c r="I25" s="2" t="s">
        <v>72</v>
      </c>
      <c r="N25" s="11" t="s">
        <v>3</v>
      </c>
    </row>
    <row r="26" spans="2:14" ht="15.75" customHeight="1">
      <c r="B26" s="23">
        <v>3</v>
      </c>
      <c r="C26" s="13">
        <v>17</v>
      </c>
      <c r="D26" s="165" t="s">
        <v>7</v>
      </c>
      <c r="E26" s="165" t="s">
        <v>7</v>
      </c>
      <c r="F26" s="17">
        <v>38</v>
      </c>
      <c r="I26" s="2" t="s">
        <v>67</v>
      </c>
      <c r="N26" s="11" t="s">
        <v>113</v>
      </c>
    </row>
    <row r="27" spans="2:14" ht="15.75" customHeight="1">
      <c r="B27" s="23">
        <v>3</v>
      </c>
      <c r="C27" s="10">
        <v>28</v>
      </c>
      <c r="D27" s="165" t="s">
        <v>9</v>
      </c>
      <c r="E27" s="165" t="s">
        <v>9</v>
      </c>
      <c r="F27" s="17">
        <v>26</v>
      </c>
      <c r="I27" s="2" t="s">
        <v>68</v>
      </c>
      <c r="N27" s="11" t="s">
        <v>102</v>
      </c>
    </row>
    <row r="28" spans="2:14" ht="15.75" customHeight="1">
      <c r="B28" s="23">
        <v>3</v>
      </c>
      <c r="C28" s="13">
        <v>36</v>
      </c>
      <c r="D28" s="165" t="s">
        <v>11</v>
      </c>
      <c r="E28" s="165" t="s">
        <v>11</v>
      </c>
      <c r="F28" s="17">
        <v>28</v>
      </c>
      <c r="I28" s="2" t="s">
        <v>64</v>
      </c>
      <c r="N28" s="11" t="s">
        <v>115</v>
      </c>
    </row>
    <row r="29" spans="2:14" ht="15.75" customHeight="1">
      <c r="B29" s="23">
        <v>3</v>
      </c>
      <c r="C29" s="13">
        <v>44</v>
      </c>
      <c r="D29" s="165" t="s">
        <v>14</v>
      </c>
      <c r="E29" s="165" t="s">
        <v>14</v>
      </c>
      <c r="F29" s="17">
        <v>28</v>
      </c>
      <c r="I29" s="2" t="s">
        <v>69</v>
      </c>
      <c r="N29" s="11" t="s">
        <v>13</v>
      </c>
    </row>
    <row r="30" spans="2:14" ht="15.75" customHeight="1">
      <c r="B30" s="23">
        <v>3</v>
      </c>
      <c r="C30" s="10">
        <v>50</v>
      </c>
      <c r="D30" s="165" t="s">
        <v>17</v>
      </c>
      <c r="E30" s="165" t="s">
        <v>17</v>
      </c>
      <c r="F30" s="17">
        <v>36</v>
      </c>
      <c r="I30" s="2" t="s">
        <v>66</v>
      </c>
      <c r="N30" s="11" t="s">
        <v>116</v>
      </c>
    </row>
    <row r="31" spans="2:14" ht="15.75" customHeight="1">
      <c r="B31" s="23">
        <v>3</v>
      </c>
      <c r="C31" s="13">
        <v>56</v>
      </c>
      <c r="D31" s="165" t="s">
        <v>18</v>
      </c>
      <c r="E31" s="165" t="s">
        <v>18</v>
      </c>
      <c r="F31" s="17">
        <v>41</v>
      </c>
      <c r="I31" s="2" t="s">
        <v>70</v>
      </c>
      <c r="N31" s="11" t="s">
        <v>112</v>
      </c>
    </row>
    <row r="32" spans="2:14" ht="15.75" customHeight="1">
      <c r="B32" s="23">
        <v>3</v>
      </c>
      <c r="C32" s="13">
        <v>67</v>
      </c>
      <c r="D32" s="165" t="s">
        <v>21</v>
      </c>
      <c r="E32" s="165" t="s">
        <v>21</v>
      </c>
      <c r="F32" s="17">
        <v>38</v>
      </c>
      <c r="N32" s="14" t="s">
        <v>106</v>
      </c>
    </row>
    <row r="33" spans="2:14" ht="15.75" customHeight="1">
      <c r="B33" s="23">
        <v>3</v>
      </c>
      <c r="C33" s="10">
        <v>68</v>
      </c>
      <c r="D33" s="165" t="s">
        <v>20</v>
      </c>
      <c r="E33" s="165" t="s">
        <v>20</v>
      </c>
      <c r="F33" s="17">
        <v>38</v>
      </c>
      <c r="N33" s="14" t="s">
        <v>105</v>
      </c>
    </row>
    <row r="34" spans="2:14" ht="15.75" customHeight="1">
      <c r="B34" s="23">
        <v>3</v>
      </c>
      <c r="C34" s="13">
        <v>86</v>
      </c>
      <c r="D34" s="165" t="s">
        <v>28</v>
      </c>
      <c r="E34" s="165" t="s">
        <v>28</v>
      </c>
      <c r="F34" s="17">
        <v>39</v>
      </c>
      <c r="N34" s="11" t="s">
        <v>107</v>
      </c>
    </row>
    <row r="35" spans="2:14" ht="15.75" customHeight="1">
      <c r="B35" s="23">
        <v>3</v>
      </c>
      <c r="C35" s="13">
        <v>87</v>
      </c>
      <c r="D35" s="165" t="s">
        <v>30</v>
      </c>
      <c r="E35" s="165" t="s">
        <v>30</v>
      </c>
      <c r="F35" s="17">
        <v>41</v>
      </c>
      <c r="N35" s="11" t="s">
        <v>29</v>
      </c>
    </row>
    <row r="36" spans="2:14" ht="15.75" customHeight="1">
      <c r="B36" s="23">
        <v>3</v>
      </c>
      <c r="C36" s="10">
        <v>91</v>
      </c>
      <c r="D36" s="165" t="s">
        <v>16</v>
      </c>
      <c r="E36" s="165" t="s">
        <v>16</v>
      </c>
      <c r="F36" s="17">
        <v>41</v>
      </c>
      <c r="N36" s="11" t="s">
        <v>15</v>
      </c>
    </row>
    <row r="37" spans="2:14" ht="15.75" customHeight="1">
      <c r="B37" s="23">
        <v>4</v>
      </c>
      <c r="C37" s="13">
        <v>4</v>
      </c>
      <c r="D37" s="165" t="s">
        <v>4</v>
      </c>
      <c r="E37" s="165" t="s">
        <v>4</v>
      </c>
      <c r="F37" s="12">
        <v>39</v>
      </c>
      <c r="N37" s="11" t="s">
        <v>3</v>
      </c>
    </row>
    <row r="38" spans="2:14" ht="15.75" customHeight="1">
      <c r="B38" s="23">
        <v>4</v>
      </c>
      <c r="C38" s="13">
        <v>8</v>
      </c>
      <c r="D38" s="165" t="s">
        <v>5</v>
      </c>
      <c r="E38" s="165" t="s">
        <v>5</v>
      </c>
      <c r="F38" s="12">
        <v>39</v>
      </c>
      <c r="N38" s="11" t="s">
        <v>117</v>
      </c>
    </row>
    <row r="39" spans="2:14" ht="15.75" customHeight="1">
      <c r="B39" s="23">
        <v>4</v>
      </c>
      <c r="C39" s="10">
        <v>12</v>
      </c>
      <c r="D39" s="165" t="s">
        <v>6</v>
      </c>
      <c r="E39" s="165" t="s">
        <v>6</v>
      </c>
      <c r="F39" s="12">
        <v>39</v>
      </c>
      <c r="N39" s="11" t="s">
        <v>118</v>
      </c>
    </row>
    <row r="40" spans="2:14" ht="15.75" customHeight="1">
      <c r="B40" s="23">
        <v>4</v>
      </c>
      <c r="C40" s="13">
        <v>18</v>
      </c>
      <c r="D40" s="165" t="s">
        <v>7</v>
      </c>
      <c r="E40" s="165" t="s">
        <v>7</v>
      </c>
      <c r="F40" s="12">
        <v>46</v>
      </c>
      <c r="N40" s="11" t="s">
        <v>113</v>
      </c>
    </row>
    <row r="41" spans="2:14" ht="15.75" customHeight="1">
      <c r="B41" s="23">
        <v>4</v>
      </c>
      <c r="C41" s="13">
        <v>22</v>
      </c>
      <c r="D41" s="165" t="s">
        <v>8</v>
      </c>
      <c r="E41" s="165" t="s">
        <v>8</v>
      </c>
      <c r="F41" s="12">
        <v>46</v>
      </c>
      <c r="N41" s="11" t="s">
        <v>119</v>
      </c>
    </row>
    <row r="42" spans="2:14" ht="15.75" customHeight="1">
      <c r="B42" s="23">
        <v>4</v>
      </c>
      <c r="C42" s="10">
        <v>29</v>
      </c>
      <c r="D42" s="165" t="s">
        <v>9</v>
      </c>
      <c r="E42" s="165" t="s">
        <v>9</v>
      </c>
      <c r="F42" s="12">
        <v>31</v>
      </c>
      <c r="N42" s="11" t="s">
        <v>102</v>
      </c>
    </row>
    <row r="43" spans="2:14" ht="15.75" customHeight="1">
      <c r="B43" s="23">
        <v>4</v>
      </c>
      <c r="C43" s="13">
        <v>37</v>
      </c>
      <c r="D43" s="165" t="s">
        <v>11</v>
      </c>
      <c r="E43" s="165" t="s">
        <v>11</v>
      </c>
      <c r="F43" s="12">
        <v>38</v>
      </c>
      <c r="N43" s="11" t="s">
        <v>115</v>
      </c>
    </row>
    <row r="44" spans="2:14" ht="15.75" customHeight="1">
      <c r="B44" s="23">
        <v>4</v>
      </c>
      <c r="C44" s="13">
        <v>45</v>
      </c>
      <c r="D44" s="165" t="s">
        <v>14</v>
      </c>
      <c r="E44" s="165" t="s">
        <v>14</v>
      </c>
      <c r="F44" s="12">
        <v>36</v>
      </c>
      <c r="N44" s="11" t="s">
        <v>13</v>
      </c>
    </row>
    <row r="45" spans="2:14" ht="15.75" customHeight="1">
      <c r="B45" s="23">
        <v>4</v>
      </c>
      <c r="C45" s="10">
        <v>51</v>
      </c>
      <c r="D45" s="165" t="s">
        <v>17</v>
      </c>
      <c r="E45" s="165" t="s">
        <v>17</v>
      </c>
      <c r="F45" s="12">
        <v>39</v>
      </c>
      <c r="N45" s="11" t="s">
        <v>116</v>
      </c>
    </row>
    <row r="46" spans="2:14" ht="15.75" customHeight="1">
      <c r="B46" s="23">
        <v>4</v>
      </c>
      <c r="C46" s="13">
        <v>57</v>
      </c>
      <c r="D46" s="165" t="s">
        <v>18</v>
      </c>
      <c r="E46" s="165" t="s">
        <v>18</v>
      </c>
      <c r="F46" s="12">
        <v>46</v>
      </c>
      <c r="N46" s="11" t="s">
        <v>112</v>
      </c>
    </row>
    <row r="47" spans="2:14" ht="15.75" customHeight="1">
      <c r="B47" s="23">
        <v>4</v>
      </c>
      <c r="C47" s="13">
        <v>69</v>
      </c>
      <c r="D47" s="165" t="s">
        <v>20</v>
      </c>
      <c r="E47" s="165" t="s">
        <v>20</v>
      </c>
      <c r="F47" s="12">
        <v>46</v>
      </c>
      <c r="N47" s="11" t="s">
        <v>120</v>
      </c>
    </row>
    <row r="48" spans="2:14" ht="15.75" customHeight="1">
      <c r="B48" s="23">
        <v>4</v>
      </c>
      <c r="C48" s="10">
        <v>88</v>
      </c>
      <c r="D48" s="165" t="s">
        <v>30</v>
      </c>
      <c r="E48" s="165" t="s">
        <v>30</v>
      </c>
      <c r="F48" s="12">
        <v>46</v>
      </c>
      <c r="N48" s="22" t="s">
        <v>29</v>
      </c>
    </row>
    <row r="49" spans="2:14" ht="15.75" customHeight="1">
      <c r="B49" s="23">
        <v>4</v>
      </c>
      <c r="C49" s="13">
        <v>93</v>
      </c>
      <c r="D49" s="165" t="s">
        <v>21</v>
      </c>
      <c r="E49" s="165" t="s">
        <v>21</v>
      </c>
      <c r="F49" s="12">
        <v>46</v>
      </c>
      <c r="N49" s="14" t="s">
        <v>106</v>
      </c>
    </row>
    <row r="50" spans="2:14" ht="15.75" customHeight="1">
      <c r="B50" s="23">
        <v>5</v>
      </c>
      <c r="C50" s="13">
        <v>5</v>
      </c>
      <c r="D50" s="165" t="s">
        <v>4</v>
      </c>
      <c r="E50" s="165" t="s">
        <v>4</v>
      </c>
      <c r="F50" s="17">
        <v>46</v>
      </c>
      <c r="N50" s="11" t="s">
        <v>3</v>
      </c>
    </row>
    <row r="51" spans="2:14" ht="15.75" customHeight="1">
      <c r="B51" s="23">
        <v>5</v>
      </c>
      <c r="C51" s="10">
        <v>9</v>
      </c>
      <c r="D51" s="165" t="s">
        <v>5</v>
      </c>
      <c r="E51" s="165" t="s">
        <v>5</v>
      </c>
      <c r="F51" s="17">
        <v>28</v>
      </c>
      <c r="N51" s="11" t="s">
        <v>117</v>
      </c>
    </row>
    <row r="52" spans="2:14" ht="15.75" customHeight="1">
      <c r="B52" s="23">
        <v>5</v>
      </c>
      <c r="C52" s="13">
        <v>13</v>
      </c>
      <c r="D52" s="165" t="s">
        <v>6</v>
      </c>
      <c r="E52" s="165" t="s">
        <v>6</v>
      </c>
      <c r="F52" s="17">
        <v>28</v>
      </c>
      <c r="N52" s="11" t="s">
        <v>118</v>
      </c>
    </row>
    <row r="53" spans="2:14" ht="15.75" customHeight="1">
      <c r="B53" s="23">
        <v>5</v>
      </c>
      <c r="C53" s="13">
        <v>19</v>
      </c>
      <c r="D53" s="165" t="s">
        <v>7</v>
      </c>
      <c r="E53" s="165" t="s">
        <v>7</v>
      </c>
      <c r="F53" s="17">
        <v>36</v>
      </c>
      <c r="N53" s="11" t="s">
        <v>113</v>
      </c>
    </row>
    <row r="54" spans="2:14" ht="15.75" customHeight="1">
      <c r="B54" s="23">
        <v>5</v>
      </c>
      <c r="C54" s="10">
        <v>23</v>
      </c>
      <c r="D54" s="165" t="s">
        <v>8</v>
      </c>
      <c r="E54" s="165" t="s">
        <v>8</v>
      </c>
      <c r="F54" s="17">
        <v>36</v>
      </c>
      <c r="N54" s="11" t="s">
        <v>119</v>
      </c>
    </row>
    <row r="55" spans="2:14" ht="15.75" customHeight="1">
      <c r="B55" s="23">
        <v>5</v>
      </c>
      <c r="C55" s="13">
        <v>30</v>
      </c>
      <c r="D55" s="165" t="s">
        <v>9</v>
      </c>
      <c r="E55" s="165" t="s">
        <v>9</v>
      </c>
      <c r="F55" s="17">
        <v>28</v>
      </c>
      <c r="N55" s="11" t="s">
        <v>102</v>
      </c>
    </row>
    <row r="56" spans="2:14" ht="15.75" customHeight="1">
      <c r="B56" s="23">
        <v>5</v>
      </c>
      <c r="C56" s="13">
        <v>33</v>
      </c>
      <c r="D56" s="165" t="s">
        <v>10</v>
      </c>
      <c r="E56" s="165" t="s">
        <v>10</v>
      </c>
      <c r="F56" s="17">
        <v>28</v>
      </c>
      <c r="N56" s="11" t="s">
        <v>121</v>
      </c>
    </row>
    <row r="57" spans="2:14" ht="15.75" customHeight="1">
      <c r="B57" s="23">
        <v>5</v>
      </c>
      <c r="C57" s="10">
        <v>38</v>
      </c>
      <c r="D57" s="165" t="s">
        <v>11</v>
      </c>
      <c r="E57" s="165" t="s">
        <v>11</v>
      </c>
      <c r="F57" s="17">
        <v>31</v>
      </c>
      <c r="N57" s="11" t="s">
        <v>115</v>
      </c>
    </row>
    <row r="58" spans="2:14" ht="15.75" customHeight="1">
      <c r="B58" s="23">
        <v>5</v>
      </c>
      <c r="C58" s="13">
        <v>41</v>
      </c>
      <c r="D58" s="165" t="s">
        <v>12</v>
      </c>
      <c r="E58" s="165" t="s">
        <v>12</v>
      </c>
      <c r="F58" s="17">
        <v>38</v>
      </c>
      <c r="N58" s="11" t="s">
        <v>122</v>
      </c>
    </row>
    <row r="59" spans="2:14" ht="15.75" customHeight="1">
      <c r="B59" s="23">
        <v>5</v>
      </c>
      <c r="C59" s="13">
        <v>46</v>
      </c>
      <c r="D59" s="165" t="s">
        <v>14</v>
      </c>
      <c r="E59" s="165" t="s">
        <v>14</v>
      </c>
      <c r="F59" s="17">
        <v>36</v>
      </c>
      <c r="N59" s="11" t="s">
        <v>13</v>
      </c>
    </row>
    <row r="60" spans="2:14" ht="15.75" customHeight="1">
      <c r="B60" s="23">
        <v>5</v>
      </c>
      <c r="C60" s="10">
        <v>52</v>
      </c>
      <c r="D60" s="165" t="s">
        <v>17</v>
      </c>
      <c r="E60" s="165" t="s">
        <v>17</v>
      </c>
      <c r="F60" s="17">
        <v>36</v>
      </c>
      <c r="N60" s="21" t="s">
        <v>116</v>
      </c>
    </row>
    <row r="61" spans="2:14" ht="15.75" customHeight="1">
      <c r="B61" s="23">
        <v>5</v>
      </c>
      <c r="C61" s="13">
        <v>58</v>
      </c>
      <c r="D61" s="165" t="s">
        <v>18</v>
      </c>
      <c r="E61" s="165" t="s">
        <v>18</v>
      </c>
      <c r="F61" s="17">
        <v>26</v>
      </c>
      <c r="N61" s="11" t="s">
        <v>112</v>
      </c>
    </row>
    <row r="62" spans="2:14" ht="15.75" customHeight="1">
      <c r="B62" s="23">
        <v>5</v>
      </c>
      <c r="C62" s="13">
        <v>70</v>
      </c>
      <c r="D62" s="165" t="s">
        <v>20</v>
      </c>
      <c r="E62" s="165" t="s">
        <v>20</v>
      </c>
      <c r="F62" s="17">
        <v>39</v>
      </c>
      <c r="N62" s="11" t="s">
        <v>120</v>
      </c>
    </row>
    <row r="63" spans="2:14" ht="15.75" customHeight="1">
      <c r="B63" s="23">
        <v>5</v>
      </c>
      <c r="C63" s="10">
        <v>73</v>
      </c>
      <c r="D63" s="165" t="s">
        <v>22</v>
      </c>
      <c r="E63" s="165" t="s">
        <v>22</v>
      </c>
      <c r="F63" s="17">
        <v>46</v>
      </c>
      <c r="N63" s="11" t="s">
        <v>123</v>
      </c>
    </row>
    <row r="64" spans="2:14" ht="15.75" customHeight="1">
      <c r="B64" s="23">
        <v>5</v>
      </c>
      <c r="C64" s="13">
        <v>76</v>
      </c>
      <c r="D64" s="165" t="s">
        <v>23</v>
      </c>
      <c r="E64" s="165" t="s">
        <v>23</v>
      </c>
      <c r="F64" s="17">
        <v>39</v>
      </c>
      <c r="N64" s="11" t="s">
        <v>124</v>
      </c>
    </row>
    <row r="65" spans="2:14" ht="15.75" customHeight="1">
      <c r="B65" s="23">
        <v>6</v>
      </c>
      <c r="C65" s="13">
        <v>6</v>
      </c>
      <c r="D65" s="165" t="s">
        <v>4</v>
      </c>
      <c r="E65" s="165" t="s">
        <v>4</v>
      </c>
      <c r="F65" s="12">
        <v>39</v>
      </c>
      <c r="N65" s="11" t="s">
        <v>3</v>
      </c>
    </row>
    <row r="66" spans="2:14" ht="15.75" customHeight="1">
      <c r="B66" s="23">
        <v>6</v>
      </c>
      <c r="C66" s="10">
        <v>10</v>
      </c>
      <c r="D66" s="165" t="s">
        <v>5</v>
      </c>
      <c r="E66" s="165" t="s">
        <v>5</v>
      </c>
      <c r="F66" s="12">
        <v>36</v>
      </c>
      <c r="N66" s="11" t="s">
        <v>117</v>
      </c>
    </row>
    <row r="67" spans="2:14" ht="15.75" customHeight="1">
      <c r="B67" s="23">
        <v>6</v>
      </c>
      <c r="C67" s="13">
        <v>14</v>
      </c>
      <c r="D67" s="165" t="s">
        <v>6</v>
      </c>
      <c r="E67" s="165" t="s">
        <v>6</v>
      </c>
      <c r="F67" s="12">
        <v>36</v>
      </c>
      <c r="N67" s="11" t="s">
        <v>118</v>
      </c>
    </row>
    <row r="68" spans="2:14" ht="15.75" customHeight="1">
      <c r="B68" s="23">
        <v>6</v>
      </c>
      <c r="C68" s="13">
        <v>20</v>
      </c>
      <c r="D68" s="165" t="s">
        <v>7</v>
      </c>
      <c r="E68" s="165" t="s">
        <v>7</v>
      </c>
      <c r="F68" s="12">
        <v>41</v>
      </c>
      <c r="N68" s="11" t="s">
        <v>113</v>
      </c>
    </row>
    <row r="69" spans="2:14" ht="15.75" customHeight="1">
      <c r="B69" s="23">
        <v>6</v>
      </c>
      <c r="C69" s="10">
        <v>24</v>
      </c>
      <c r="D69" s="165" t="s">
        <v>8</v>
      </c>
      <c r="E69" s="165" t="s">
        <v>8</v>
      </c>
      <c r="F69" s="12">
        <v>41</v>
      </c>
      <c r="N69" s="11" t="s">
        <v>119</v>
      </c>
    </row>
    <row r="70" spans="2:14" ht="15.75" customHeight="1">
      <c r="B70" s="23">
        <v>6</v>
      </c>
      <c r="C70" s="13">
        <v>31</v>
      </c>
      <c r="D70" s="165" t="s">
        <v>9</v>
      </c>
      <c r="E70" s="165" t="s">
        <v>9</v>
      </c>
      <c r="F70" s="12">
        <v>26</v>
      </c>
      <c r="N70" s="11" t="s">
        <v>102</v>
      </c>
    </row>
    <row r="71" spans="2:14" ht="15.75" customHeight="1">
      <c r="B71" s="23">
        <v>6</v>
      </c>
      <c r="C71" s="13">
        <v>34</v>
      </c>
      <c r="D71" s="165" t="s">
        <v>10</v>
      </c>
      <c r="E71" s="165" t="s">
        <v>10</v>
      </c>
      <c r="F71" s="12">
        <v>26</v>
      </c>
      <c r="N71" s="11" t="s">
        <v>121</v>
      </c>
    </row>
    <row r="72" spans="2:14" ht="15.75" customHeight="1">
      <c r="B72" s="23">
        <v>6</v>
      </c>
      <c r="C72" s="10">
        <v>39</v>
      </c>
      <c r="D72" s="165" t="s">
        <v>11</v>
      </c>
      <c r="E72" s="165" t="s">
        <v>11</v>
      </c>
      <c r="F72" s="12">
        <v>31</v>
      </c>
      <c r="N72" s="11" t="s">
        <v>115</v>
      </c>
    </row>
    <row r="73" spans="2:14" ht="15.75" customHeight="1">
      <c r="B73" s="23">
        <v>6</v>
      </c>
      <c r="C73" s="13">
        <v>42</v>
      </c>
      <c r="D73" s="165" t="s">
        <v>12</v>
      </c>
      <c r="E73" s="165" t="s">
        <v>12</v>
      </c>
      <c r="F73" s="12">
        <v>38</v>
      </c>
      <c r="N73" s="11" t="s">
        <v>122</v>
      </c>
    </row>
    <row r="74" spans="2:14" ht="15.75" customHeight="1">
      <c r="B74" s="23">
        <v>6</v>
      </c>
      <c r="C74" s="13">
        <v>47</v>
      </c>
      <c r="D74" s="165" t="s">
        <v>14</v>
      </c>
      <c r="E74" s="165" t="s">
        <v>14</v>
      </c>
      <c r="F74" s="12">
        <v>36</v>
      </c>
      <c r="N74" s="11" t="s">
        <v>13</v>
      </c>
    </row>
    <row r="75" spans="2:14" ht="15.75" customHeight="1">
      <c r="B75" s="23">
        <v>6</v>
      </c>
      <c r="C75" s="10">
        <v>53</v>
      </c>
      <c r="D75" s="165" t="s">
        <v>17</v>
      </c>
      <c r="E75" s="165" t="s">
        <v>17</v>
      </c>
      <c r="F75" s="12">
        <v>31</v>
      </c>
      <c r="N75" s="11" t="s">
        <v>116</v>
      </c>
    </row>
    <row r="76" spans="2:14" ht="15.75" customHeight="1">
      <c r="B76" s="23">
        <v>6</v>
      </c>
      <c r="C76" s="13">
        <v>59</v>
      </c>
      <c r="D76" s="165" t="s">
        <v>18</v>
      </c>
      <c r="E76" s="165" t="s">
        <v>18</v>
      </c>
      <c r="F76" s="12">
        <v>26</v>
      </c>
      <c r="N76" s="11" t="s">
        <v>112</v>
      </c>
    </row>
    <row r="77" spans="2:14" ht="15.75" customHeight="1">
      <c r="B77" s="23">
        <v>6</v>
      </c>
      <c r="C77" s="13">
        <v>71</v>
      </c>
      <c r="D77" s="165" t="s">
        <v>20</v>
      </c>
      <c r="E77" s="165" t="s">
        <v>20</v>
      </c>
      <c r="F77" s="12">
        <v>39</v>
      </c>
      <c r="N77" s="11" t="s">
        <v>120</v>
      </c>
    </row>
    <row r="78" spans="2:14" ht="15.75" customHeight="1">
      <c r="B78" s="23">
        <v>6</v>
      </c>
      <c r="C78" s="10">
        <v>74</v>
      </c>
      <c r="D78" s="165" t="s">
        <v>22</v>
      </c>
      <c r="E78" s="165" t="s">
        <v>22</v>
      </c>
      <c r="F78" s="12">
        <v>31</v>
      </c>
      <c r="N78" s="11" t="s">
        <v>123</v>
      </c>
    </row>
    <row r="79" spans="2:14" ht="15.75" customHeight="1">
      <c r="B79" s="23">
        <v>6</v>
      </c>
      <c r="C79" s="13">
        <v>77</v>
      </c>
      <c r="D79" s="165" t="s">
        <v>23</v>
      </c>
      <c r="E79" s="165" t="s">
        <v>23</v>
      </c>
      <c r="F79" s="12">
        <v>39</v>
      </c>
      <c r="N79" s="11" t="s">
        <v>124</v>
      </c>
    </row>
    <row r="80" spans="2:14" ht="15.75" customHeight="1">
      <c r="B80" s="23">
        <v>6</v>
      </c>
      <c r="C80" s="13">
        <v>79</v>
      </c>
      <c r="D80" s="165" t="s">
        <v>24</v>
      </c>
      <c r="E80" s="165" t="s">
        <v>24</v>
      </c>
      <c r="F80" s="12">
        <v>31</v>
      </c>
      <c r="N80" s="11" t="s">
        <v>125</v>
      </c>
    </row>
    <row r="81" spans="2:14" ht="15.75" customHeight="1">
      <c r="B81" s="23">
        <v>6</v>
      </c>
      <c r="C81" s="10">
        <v>81</v>
      </c>
      <c r="D81" s="165" t="s">
        <v>27</v>
      </c>
      <c r="E81" s="165" t="s">
        <v>27</v>
      </c>
      <c r="F81" s="12">
        <v>46</v>
      </c>
      <c r="N81" s="11" t="s">
        <v>126</v>
      </c>
    </row>
    <row r="82" spans="2:14" ht="15.75" customHeight="1">
      <c r="B82" s="23">
        <v>7</v>
      </c>
      <c r="C82" s="13">
        <v>7</v>
      </c>
      <c r="D82" s="165" t="s">
        <v>4</v>
      </c>
      <c r="E82" s="165" t="s">
        <v>4</v>
      </c>
      <c r="F82" s="12">
        <v>41</v>
      </c>
      <c r="N82" s="11" t="s">
        <v>3</v>
      </c>
    </row>
    <row r="83" spans="2:14" ht="15.75" customHeight="1">
      <c r="B83" s="23">
        <v>7</v>
      </c>
      <c r="C83" s="13">
        <v>11</v>
      </c>
      <c r="D83" s="165" t="s">
        <v>5</v>
      </c>
      <c r="E83" s="165" t="s">
        <v>5</v>
      </c>
      <c r="F83" s="12">
        <v>28</v>
      </c>
      <c r="N83" s="11" t="s">
        <v>117</v>
      </c>
    </row>
    <row r="84" spans="2:14" ht="15.75" customHeight="1">
      <c r="B84" s="23">
        <v>7</v>
      </c>
      <c r="C84" s="10">
        <v>15</v>
      </c>
      <c r="D84" s="165" t="s">
        <v>6</v>
      </c>
      <c r="E84" s="165" t="s">
        <v>6</v>
      </c>
      <c r="F84" s="12">
        <v>28</v>
      </c>
      <c r="N84" s="11" t="s">
        <v>118</v>
      </c>
    </row>
    <row r="85" spans="2:14" ht="15.75" customHeight="1">
      <c r="B85" s="23">
        <v>7</v>
      </c>
      <c r="C85" s="13">
        <v>21</v>
      </c>
      <c r="D85" s="165" t="s">
        <v>7</v>
      </c>
      <c r="E85" s="165" t="s">
        <v>7</v>
      </c>
      <c r="F85" s="12">
        <v>41</v>
      </c>
      <c r="N85" s="11" t="s">
        <v>113</v>
      </c>
    </row>
    <row r="86" spans="2:14" ht="15.75" customHeight="1">
      <c r="B86" s="23">
        <v>7</v>
      </c>
      <c r="C86" s="13">
        <v>25</v>
      </c>
      <c r="D86" s="165" t="s">
        <v>8</v>
      </c>
      <c r="E86" s="165" t="s">
        <v>8</v>
      </c>
      <c r="F86" s="12">
        <v>41</v>
      </c>
      <c r="N86" s="11" t="s">
        <v>119</v>
      </c>
    </row>
    <row r="87" spans="2:14" ht="15.75" customHeight="1">
      <c r="B87" s="23">
        <v>7</v>
      </c>
      <c r="C87" s="10">
        <v>32</v>
      </c>
      <c r="D87" s="165" t="s">
        <v>9</v>
      </c>
      <c r="E87" s="165" t="s">
        <v>9</v>
      </c>
      <c r="F87" s="12">
        <v>31</v>
      </c>
      <c r="N87" s="11" t="s">
        <v>102</v>
      </c>
    </row>
    <row r="88" spans="2:14" ht="15.75" customHeight="1">
      <c r="B88" s="23">
        <v>7</v>
      </c>
      <c r="C88" s="13">
        <v>35</v>
      </c>
      <c r="D88" s="165" t="s">
        <v>10</v>
      </c>
      <c r="E88" s="165" t="s">
        <v>10</v>
      </c>
      <c r="F88" s="12">
        <v>31</v>
      </c>
      <c r="N88" s="11" t="s">
        <v>121</v>
      </c>
    </row>
    <row r="89" spans="2:14" ht="15.75" customHeight="1">
      <c r="B89" s="23">
        <v>7</v>
      </c>
      <c r="C89" s="13">
        <v>40</v>
      </c>
      <c r="D89" s="165" t="s">
        <v>11</v>
      </c>
      <c r="E89" s="165" t="s">
        <v>11</v>
      </c>
      <c r="F89" s="12">
        <v>31</v>
      </c>
      <c r="N89" s="11" t="s">
        <v>115</v>
      </c>
    </row>
    <row r="90" spans="2:14" ht="15.75" customHeight="1">
      <c r="B90" s="23">
        <v>7</v>
      </c>
      <c r="C90" s="10">
        <v>48</v>
      </c>
      <c r="D90" s="165" t="s">
        <v>14</v>
      </c>
      <c r="E90" s="165" t="s">
        <v>14</v>
      </c>
      <c r="F90" s="12">
        <v>41</v>
      </c>
      <c r="N90" s="11" t="s">
        <v>13</v>
      </c>
    </row>
    <row r="91" spans="2:14" ht="15.75" customHeight="1">
      <c r="B91" s="23">
        <v>7</v>
      </c>
      <c r="C91" s="13">
        <v>54</v>
      </c>
      <c r="D91" s="165" t="s">
        <v>17</v>
      </c>
      <c r="E91" s="165" t="s">
        <v>17</v>
      </c>
      <c r="F91" s="12">
        <v>41</v>
      </c>
      <c r="N91" s="11" t="s">
        <v>116</v>
      </c>
    </row>
    <row r="92" spans="2:14" ht="15.75" customHeight="1">
      <c r="B92" s="23">
        <v>7</v>
      </c>
      <c r="C92" s="13">
        <v>60</v>
      </c>
      <c r="D92" s="165" t="s">
        <v>18</v>
      </c>
      <c r="E92" s="165" t="s">
        <v>18</v>
      </c>
      <c r="F92" s="12">
        <v>26</v>
      </c>
      <c r="N92" s="11" t="s">
        <v>112</v>
      </c>
    </row>
    <row r="93" spans="2:14" ht="15.75" customHeight="1">
      <c r="B93" s="23">
        <v>7</v>
      </c>
      <c r="C93" s="10">
        <v>72</v>
      </c>
      <c r="D93" s="165" t="s">
        <v>20</v>
      </c>
      <c r="E93" s="165" t="s">
        <v>20</v>
      </c>
      <c r="F93" s="12">
        <v>28</v>
      </c>
      <c r="N93" s="11" t="s">
        <v>120</v>
      </c>
    </row>
    <row r="94" spans="2:14" ht="15.75" customHeight="1">
      <c r="B94" s="23">
        <v>7</v>
      </c>
      <c r="C94" s="13">
        <v>75</v>
      </c>
      <c r="D94" s="165" t="s">
        <v>22</v>
      </c>
      <c r="E94" s="165" t="s">
        <v>22</v>
      </c>
      <c r="F94" s="12">
        <v>31</v>
      </c>
      <c r="N94" s="11" t="s">
        <v>123</v>
      </c>
    </row>
    <row r="95" spans="2:14" ht="15.75" customHeight="1">
      <c r="B95" s="23">
        <v>7</v>
      </c>
      <c r="C95" s="19">
        <v>78</v>
      </c>
      <c r="D95" s="165" t="s">
        <v>23</v>
      </c>
      <c r="E95" s="165" t="s">
        <v>23</v>
      </c>
      <c r="F95" s="12">
        <v>28</v>
      </c>
      <c r="N95" s="11" t="s">
        <v>124</v>
      </c>
    </row>
    <row r="96" spans="2:14" ht="15.6">
      <c r="B96" s="23">
        <v>7</v>
      </c>
      <c r="C96" s="19">
        <v>80</v>
      </c>
      <c r="D96" s="165" t="s">
        <v>24</v>
      </c>
      <c r="E96" s="165" t="s">
        <v>24</v>
      </c>
      <c r="F96" s="12">
        <v>31</v>
      </c>
      <c r="N96" s="11" t="s">
        <v>125</v>
      </c>
    </row>
    <row r="97" spans="2:14" ht="15.6">
      <c r="B97" s="23">
        <v>7</v>
      </c>
      <c r="C97" s="19">
        <v>82</v>
      </c>
      <c r="D97" s="165" t="s">
        <v>26</v>
      </c>
      <c r="E97" s="165" t="s">
        <v>26</v>
      </c>
      <c r="F97" s="12">
        <v>38</v>
      </c>
      <c r="N97" s="11" t="s">
        <v>127</v>
      </c>
    </row>
    <row r="98" spans="2:14" ht="15.6">
      <c r="B98" s="23">
        <v>7</v>
      </c>
      <c r="C98" s="19">
        <v>83</v>
      </c>
      <c r="D98" s="165" t="s">
        <v>25</v>
      </c>
      <c r="E98" s="165" t="s">
        <v>25</v>
      </c>
      <c r="F98" s="12">
        <v>31</v>
      </c>
      <c r="N98" s="11" t="s">
        <v>128</v>
      </c>
    </row>
  </sheetData>
  <autoFilter ref="B1:F96" xr:uid="{00000000-0009-0000-0000-000003000000}">
    <sortState xmlns:xlrd2="http://schemas.microsoft.com/office/spreadsheetml/2017/richdata2" ref="B2:F96">
      <sortCondition ref="F1:F96"/>
    </sortState>
  </autoFilter>
  <conditionalFormatting sqref="J21">
    <cfRule type="cellIs" dxfId="0" priority="1" operator="equal">
      <formula>41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Sun,Tue,Wed</vt:lpstr>
      <vt:lpstr>Mon</vt:lpstr>
      <vt:lpstr>thu</vt:lpstr>
      <vt:lpstr>Name List</vt:lpstr>
      <vt:lpstr>Mon!Print_Area</vt:lpstr>
      <vt:lpstr>'Sun,Tue,Wed'!Print_Area</vt:lpstr>
      <vt:lpstr>thu!Print_Area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 SALAH ARABIC COLL</dc:creator>
  <cp:lastModifiedBy>USMAN M R</cp:lastModifiedBy>
  <cp:lastPrinted>2026-01-18T04:21:03Z</cp:lastPrinted>
  <dcterms:created xsi:type="dcterms:W3CDTF">2024-03-08T14:14:42Z</dcterms:created>
  <dcterms:modified xsi:type="dcterms:W3CDTF">2026-01-26T04:06:32Z</dcterms:modified>
</cp:coreProperties>
</file>